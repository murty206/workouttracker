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şlangıç" sheetId="1" r:id="rId5"/>
    <sheet state="visible" name="Hafta 1" sheetId="2" r:id="rId6"/>
    <sheet state="visible" name="Hafta 2" sheetId="3" r:id="rId7"/>
    <sheet state="visible" name="Hafta 3" sheetId="4" r:id="rId8"/>
    <sheet state="visible" name="Sayfa4" sheetId="5" r:id="rId9"/>
    <sheet state="visible" name="Hafta 4" sheetId="6" r:id="rId10"/>
    <sheet state="visible" name="Hafta 5" sheetId="7" r:id="rId11"/>
    <sheet state="visible" name="Hafta 6" sheetId="8" r:id="rId12"/>
    <sheet state="visible" name="Hafta 7" sheetId="9" r:id="rId13"/>
    <sheet state="visible" name="Hafta 8" sheetId="10" r:id="rId14"/>
    <sheet state="visible" name="Hafta 9" sheetId="11" r:id="rId15"/>
    <sheet state="visible" name="Hafta 10" sheetId="12" r:id="rId16"/>
    <sheet state="visible" name="Hafta 11" sheetId="13" r:id="rId17"/>
    <sheet state="visible" name="Hafta 12" sheetId="14" r:id="rId18"/>
    <sheet state="visible" name="Dinlenme haftası" sheetId="15" r:id="rId19"/>
    <sheet state="visible" name="Grafikler" sheetId="16" r:id="rId20"/>
  </sheets>
  <definedNames/>
  <calcPr/>
</workbook>
</file>

<file path=xl/sharedStrings.xml><?xml version="1.0" encoding="utf-8"?>
<sst xmlns="http://schemas.openxmlformats.org/spreadsheetml/2006/main" count="994" uniqueCount="82">
  <si>
    <t>SUPERHERO ANTRENMAN PROGRAMI</t>
  </si>
  <si>
    <t>Cinsiyet 👉</t>
  </si>
  <si>
    <t>erkek</t>
  </si>
  <si>
    <r>
      <rPr>
        <rFont val="Calibri"/>
        <sz val="10.0"/>
      </rPr>
      <t xml:space="preserve">⚠️ Satın alınan program yalnızca satın alan kişinin kullanımı içindir. Superhero kitabı, erişim sertifikası
ve antrenman excel dosyasının; yayıncının izni olmadan paylaşılması, internete yüklenmesi ve
dağıtılması yasaktır ve yasalarca cezalandırılır.  </t>
    </r>
    <r>
      <rPr>
        <rFont val="Calibri"/>
        <i/>
        <sz val="10.0"/>
      </rPr>
      <t xml:space="preserve"> Copyright ©2024 Fit Yemek - </t>
    </r>
    <r>
      <rPr>
        <rFont val="Calibri"/>
        <i/>
        <color rgb="FF1155CC"/>
        <sz val="10.0"/>
        <u/>
      </rPr>
      <t>www.fityemek.com</t>
    </r>
  </si>
  <si>
    <t>Vücut ağırlığı 👉</t>
  </si>
  <si>
    <t>1 tekrar max hesabı için yapabildiğin ağırlık ve tekrar sayılarını gir 👇</t>
  </si>
  <si>
    <t>bunlar başlangıç ağırlıkların olacak 👇</t>
  </si>
  <si>
    <r>
      <rPr>
        <rFont val="Calibri"/>
        <color theme="1"/>
        <sz val="10.0"/>
      </rPr>
      <t xml:space="preserve">bunları senin için ayarladık, konu hakkında derin bilgiye sahip değilsen </t>
    </r>
    <r>
      <rPr>
        <rFont val="Calibri"/>
        <color rgb="FFFF0000"/>
        <sz val="10.0"/>
      </rPr>
      <t>dokunma!</t>
    </r>
    <r>
      <rPr>
        <rFont val="Calibri"/>
        <color theme="1"/>
        <sz val="10.0"/>
      </rPr>
      <t xml:space="preserve"> 👇</t>
    </r>
  </si>
  <si>
    <t>G1</t>
  </si>
  <si>
    <t>ağırlık</t>
  </si>
  <si>
    <t>tekrar sayısı</t>
  </si>
  <si>
    <t>1 tekrar max</t>
  </si>
  <si>
    <t>başlangıç ağırlıkları</t>
  </si>
  <si>
    <t>haftalık artış</t>
  </si>
  <si>
    <t>RPE</t>
  </si>
  <si>
    <t>set x tekrar sayıları</t>
  </si>
  <si>
    <t>Bench Press</t>
  </si>
  <si>
    <t>4x5+</t>
  </si>
  <si>
    <t>Squat</t>
  </si>
  <si>
    <t>Over Head Press</t>
  </si>
  <si>
    <t>G2</t>
  </si>
  <si>
    <t>DB Shoulder Press</t>
  </si>
  <si>
    <t>3x10</t>
  </si>
  <si>
    <t>Dumbbell Romanian Deadlift</t>
  </si>
  <si>
    <t>3x8</t>
  </si>
  <si>
    <t>Barbell Row</t>
  </si>
  <si>
    <t>4x10</t>
  </si>
  <si>
    <t>Negative Pull Ups</t>
  </si>
  <si>
    <t>vücut a.</t>
  </si>
  <si>
    <t>3xmax</t>
  </si>
  <si>
    <t>G3</t>
  </si>
  <si>
    <t>Lateral Raises</t>
  </si>
  <si>
    <t>3x10-14</t>
  </si>
  <si>
    <t>Lat Pulldown</t>
  </si>
  <si>
    <t>Chest Fly Machine</t>
  </si>
  <si>
    <t>Dumbbell Lunges</t>
  </si>
  <si>
    <t>G4</t>
  </si>
  <si>
    <t>Overhead Triceps Extension</t>
  </si>
  <si>
    <t>3x8-12</t>
  </si>
  <si>
    <t>Incline Dumbbell Curl</t>
  </si>
  <si>
    <t>Crunch</t>
  </si>
  <si>
    <t>Leg Raises</t>
  </si>
  <si>
    <t>Deadbug</t>
  </si>
  <si>
    <t>G5</t>
  </si>
  <si>
    <t>Push-Up</t>
  </si>
  <si>
    <t>WORKOUT A</t>
  </si>
  <si>
    <t>1 tekrar max tahmini 👉</t>
  </si>
  <si>
    <t>Egzersiz</t>
  </si>
  <si>
    <t>Kg</t>
  </si>
  <si>
    <t>Set x Tekrar</t>
  </si>
  <si>
    <t>Isınma setleri</t>
  </si>
  <si>
    <t>Set 1</t>
  </si>
  <si>
    <t>Set 2</t>
  </si>
  <si>
    <t>Set 3</t>
  </si>
  <si>
    <t>Set 4</t>
  </si>
  <si>
    <t>Notlar</t>
  </si>
  <si>
    <t xml:space="preserve">tek plaka ağırlığı 15kg  bar ağırlığı hariç </t>
  </si>
  <si>
    <t>👈 bu alanı not tutmak için kullanabilirsin</t>
  </si>
  <si>
    <t>-</t>
  </si>
  <si>
    <t xml:space="preserve">tek dumbbell ağırlığı </t>
  </si>
  <si>
    <t>WORKOUT B</t>
  </si>
  <si>
    <t xml:space="preserve">tek plaka ağırlığı </t>
  </si>
  <si>
    <t>WORKOUT C</t>
  </si>
  <si>
    <t>Push Ups</t>
  </si>
  <si>
    <t>👆 her set için yaptığın tekrar sayılarını gir</t>
  </si>
  <si>
    <t>Tebrikler! 💪
12 döngüyü tamamladın ve dinlenme haftasına ulaştın.
Bu hafta yalnızca 2 gün, hafif antrenmanlar yapacaksın ve bol bol dinleneceksin. 😴
Hafta 12'de yapabildiğin en son ağırlık ve tekrarları bir kenara not etmeyi unutma.
Antrenmanlara nasıl devam etmen gerektiği hakkında bilgi almak için e-kitaptaki sayfa 37'yi kontrol et!</t>
  </si>
  <si>
    <t>ANTRENMAN 1</t>
  </si>
  <si>
    <t>3x5</t>
  </si>
  <si>
    <t>ANTRENMAN 2</t>
  </si>
  <si>
    <t>Vücut ağırlığı</t>
  </si>
  <si>
    <t>Hafta 1</t>
  </si>
  <si>
    <t>Hafta 2</t>
  </si>
  <si>
    <t>Hafta 3</t>
  </si>
  <si>
    <t>Hafta 4</t>
  </si>
  <si>
    <t>Hafta 5</t>
  </si>
  <si>
    <t>Hafta 6</t>
  </si>
  <si>
    <t>Hafta 7</t>
  </si>
  <si>
    <t>Hafta 8</t>
  </si>
  <si>
    <t>Hafta 9</t>
  </si>
  <si>
    <t>Hafta 10</t>
  </si>
  <si>
    <t>Hafta 11</t>
  </si>
  <si>
    <t>Hafta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</si>
</sst>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dd.mm.yyyy"/>
  </numFmts>
  <fonts count="15">
    <font>
      <sz val="10.0"/>
      <color rgb="FF000000"/>
      <name val="Arial"/>
      <scheme val="minor"/>
    </font>
    <font>
      <b/>
      <sz val="13.0"/>
      <color rgb="FFFFFFFF"/>
      <name val="Oswald"/>
    </font>
    <font>
      <sz val="11.0"/>
      <color theme="1"/>
      <name val="Calibri"/>
    </font>
    <font>
      <u/>
      <sz val="11.0"/>
      <color rgb="FF0000FF"/>
      <name val="Calibri"/>
    </font>
    <font>
      <sz val="10.0"/>
      <color theme="1"/>
      <name val="Calibri"/>
    </font>
    <font>
      <b/>
      <sz val="11.0"/>
      <color theme="1"/>
      <name val="Calibri"/>
    </font>
    <font>
      <sz val="11.0"/>
      <color rgb="FF2F2F2F"/>
      <name val="Calibri"/>
    </font>
    <font>
      <color theme="1"/>
      <name val="Arial"/>
    </font>
    <font>
      <b/>
      <sz val="11.0"/>
      <color rgb="FFFFFFFF"/>
      <name val="Calibri"/>
    </font>
    <font>
      <sz val="11.0"/>
      <color theme="0"/>
      <name val="Calibri"/>
    </font>
    <font>
      <sz val="11.0"/>
      <color rgb="FF000000"/>
      <name val="Calibri"/>
    </font>
    <font>
      <sz val="11.0"/>
      <color rgb="FFFFFFFF"/>
      <name val="Calibri"/>
    </font>
    <font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DFDF"/>
        <bgColor rgb="FFFFDFD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</fills>
  <borders count="9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</border>
    <border>
      <top style="dotted">
        <color rgb="FF000000"/>
      </top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</border>
    <border>
      <left style="dotted">
        <color rgb="FF434343"/>
      </left>
      <top style="dotted">
        <color rgb="FF434343"/>
      </top>
    </border>
    <border>
      <left style="dotted">
        <color rgb="FF434343"/>
      </left>
      <top style="dotted">
        <color rgb="FF434343"/>
      </top>
      <bottom style="dotted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2" fillId="4" fontId="2" numFmtId="0" xfId="0" applyAlignment="1" applyBorder="1" applyFill="1" applyFont="1">
      <alignment vertical="bottom"/>
    </xf>
    <xf borderId="1" fillId="0" fontId="2" numFmtId="1" xfId="0" applyAlignment="1" applyBorder="1" applyFont="1" applyNumberFormat="1">
      <alignment readingOrder="0"/>
    </xf>
    <xf borderId="0" fillId="0" fontId="2" numFmtId="164" xfId="0" applyFont="1" applyNumberFormat="1"/>
    <xf borderId="0" fillId="5" fontId="6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2" fillId="6" fontId="2" numFmtId="0" xfId="0" applyAlignment="1" applyBorder="1" applyFill="1" applyFont="1">
      <alignment readingOrder="0" vertical="bottom"/>
    </xf>
    <xf borderId="1" fillId="0" fontId="2" numFmtId="164" xfId="0" applyAlignment="1" applyBorder="1" applyFont="1" applyNumberFormat="1">
      <alignment readingOrder="0"/>
    </xf>
    <xf borderId="0" fillId="6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3" fillId="0" fontId="7" numFmtId="0" xfId="0" applyAlignment="1" applyBorder="1" applyFont="1">
      <alignment vertical="bottom"/>
    </xf>
    <xf borderId="0" fillId="0" fontId="2" numFmtId="0" xfId="0" applyAlignment="1" applyFont="1">
      <alignment horizontal="right"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4" fillId="6" fontId="2" numFmtId="0" xfId="0" applyAlignment="1" applyBorder="1" applyFont="1">
      <alignment readingOrder="0"/>
    </xf>
    <xf borderId="0" fillId="9" fontId="8" numFmtId="0" xfId="0" applyAlignment="1" applyFill="1" applyFont="1">
      <alignment readingOrder="0"/>
    </xf>
    <xf borderId="0" fillId="9" fontId="9" numFmtId="0" xfId="0" applyFont="1"/>
    <xf borderId="0" fillId="9" fontId="9" numFmtId="0" xfId="0" applyAlignment="1" applyFont="1">
      <alignment readingOrder="0"/>
    </xf>
    <xf borderId="0" fillId="9" fontId="2" numFmtId="0" xfId="0" applyFont="1"/>
    <xf borderId="0" fillId="4" fontId="2" numFmtId="0" xfId="0" applyFont="1"/>
    <xf borderId="0" fillId="4" fontId="2" numFmtId="0" xfId="0" applyAlignment="1" applyFont="1">
      <alignment readingOrder="0"/>
    </xf>
    <xf borderId="0" fillId="4" fontId="10" numFmtId="0" xfId="0" applyFont="1"/>
    <xf borderId="5" fillId="4" fontId="2" numFmtId="0" xfId="0" applyAlignment="1" applyBorder="1" applyFont="1">
      <alignment readingOrder="0"/>
    </xf>
    <xf borderId="6" fillId="4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6" fontId="2" numFmtId="0" xfId="0" applyFont="1"/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right" readingOrder="0"/>
    </xf>
    <xf borderId="0" fillId="7" fontId="2" numFmtId="0" xfId="0" applyFont="1"/>
    <xf borderId="0" fillId="7" fontId="2" numFmtId="0" xfId="0" applyAlignment="1" applyFont="1">
      <alignment horizontal="center" readingOrder="0"/>
    </xf>
    <xf borderId="4" fillId="7" fontId="2" numFmtId="0" xfId="0" applyAlignment="1" applyBorder="1" applyFont="1">
      <alignment readingOrder="0"/>
    </xf>
    <xf borderId="5" fillId="7" fontId="2" numFmtId="0" xfId="0" applyAlignment="1" applyBorder="1" applyFont="1">
      <alignment readingOrder="0"/>
    </xf>
    <xf borderId="1" fillId="7" fontId="2" numFmtId="0" xfId="0" applyAlignment="1" applyBorder="1" applyFont="1">
      <alignment readingOrder="0"/>
    </xf>
    <xf borderId="0" fillId="8" fontId="2" numFmtId="0" xfId="0" applyFont="1"/>
    <xf borderId="0" fillId="8" fontId="2" numFmtId="0" xfId="0" applyAlignment="1" applyFont="1">
      <alignment horizontal="center" readingOrder="0"/>
    </xf>
    <xf borderId="4" fillId="8" fontId="2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9" fontId="11" numFmtId="0" xfId="0" applyAlignment="1" applyFont="1">
      <alignment readingOrder="0"/>
    </xf>
    <xf borderId="0" fillId="9" fontId="11" numFmtId="0" xfId="0" applyFont="1"/>
    <xf borderId="7" fillId="8" fontId="2" numFmtId="0" xfId="0" applyAlignment="1" applyBorder="1" applyFont="1">
      <alignment readingOrder="0"/>
    </xf>
    <xf borderId="0" fillId="9" fontId="2" numFmtId="166" xfId="0" applyAlignment="1" applyFont="1" applyNumberFormat="1">
      <alignment readingOrder="0"/>
    </xf>
    <xf borderId="0" fillId="9" fontId="11" numFmtId="166" xfId="0" applyAlignment="1" applyFont="1" applyNumberFormat="1">
      <alignment readingOrder="0"/>
    </xf>
    <xf borderId="4" fillId="6" fontId="2" numFmtId="0" xfId="0" applyBorder="1" applyFont="1"/>
    <xf borderId="4" fillId="7" fontId="2" numFmtId="0" xfId="0" applyBorder="1" applyFont="1"/>
    <xf borderId="4" fillId="8" fontId="2" numFmtId="0" xfId="0" applyBorder="1" applyFont="1"/>
    <xf borderId="1" fillId="8" fontId="2" numFmtId="0" xfId="0" applyBorder="1" applyFont="1"/>
    <xf borderId="5" fillId="7" fontId="2" numFmtId="0" xfId="0" applyBorder="1" applyFont="1"/>
    <xf borderId="1" fillId="7" fontId="2" numFmtId="0" xfId="0" applyBorder="1" applyFont="1"/>
    <xf borderId="7" fillId="8" fontId="2" numFmtId="0" xfId="0" applyBorder="1" applyFont="1"/>
    <xf borderId="4" fillId="4" fontId="2" numFmtId="0" xfId="0" applyBorder="1" applyFont="1"/>
    <xf borderId="0" fillId="4" fontId="2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12" numFmtId="0" xfId="0" applyAlignment="1" applyFont="1">
      <alignment vertical="bottom"/>
    </xf>
    <xf borderId="8" fillId="0" fontId="13" numFmtId="0" xfId="0" applyAlignment="1" applyBorder="1" applyFont="1">
      <alignment vertical="bottom"/>
    </xf>
    <xf borderId="8" fillId="0" fontId="14" numFmtId="0" xfId="0" applyAlignment="1" applyBorder="1" applyFont="1">
      <alignment readingOrder="0"/>
    </xf>
    <xf borderId="8" fillId="0" fontId="13" numFmtId="0" xfId="0" applyAlignment="1" applyBorder="1" applyFont="1">
      <alignment readingOrder="0" vertical="bottom"/>
    </xf>
    <xf borderId="8" fillId="0" fontId="1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 tekrar max grafiği 💪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Grafikler!$B$26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Grafikler!$A$27:$A$38</c:f>
            </c:strRef>
          </c:cat>
          <c:val>
            <c:numRef>
              <c:f>Grafikler!$B$27:$B$38</c:f>
              <c:numCache/>
            </c:numRef>
          </c:val>
          <c:smooth val="0"/>
        </c:ser>
        <c:ser>
          <c:idx val="1"/>
          <c:order val="1"/>
          <c:tx>
            <c:strRef>
              <c:f>Grafikler!$C$26</c:f>
            </c:strRef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Grafikler!$A$27:$A$38</c:f>
            </c:strRef>
          </c:cat>
          <c:val>
            <c:numRef>
              <c:f>Grafikler!$C$27:$C$38</c:f>
              <c:numCache/>
            </c:numRef>
          </c:val>
          <c:smooth val="0"/>
        </c:ser>
        <c:ser>
          <c:idx val="2"/>
          <c:order val="2"/>
          <c:tx>
            <c:strRef>
              <c:f>Grafikler!$D$26</c:f>
            </c:strRef>
          </c:tx>
          <c:spPr>
            <a:ln cmpd="sng">
              <a:solidFill>
                <a:srgbClr val="FBBC04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Grafikler!$A$27:$A$38</c:f>
            </c:strRef>
          </c:cat>
          <c:val>
            <c:numRef>
              <c:f>Grafikler!$D$27:$D$38</c:f>
              <c:numCache/>
            </c:numRef>
          </c:val>
          <c:smooth val="0"/>
        </c:ser>
        <c:ser>
          <c:idx val="3"/>
          <c:order val="3"/>
          <c:tx>
            <c:strRef>
              <c:f>Grafikler!$E$26</c:f>
            </c:strRef>
          </c:tx>
          <c:spPr>
            <a:ln cmpd="sng">
              <a:solidFill>
                <a:srgbClr val="34A853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Grafikler!$A$27:$A$38</c:f>
            </c:strRef>
          </c:cat>
          <c:val>
            <c:numRef>
              <c:f>Grafikler!$E$27:$E$38</c:f>
              <c:numCache/>
            </c:numRef>
          </c:val>
          <c:smooth val="0"/>
        </c:ser>
        <c:ser>
          <c:idx val="4"/>
          <c:order val="4"/>
          <c:tx>
            <c:strRef>
              <c:f>Grafikler!$F$26</c:f>
            </c:strRef>
          </c:tx>
          <c:spPr>
            <a:ln cmpd="sng">
              <a:solidFill>
                <a:srgbClr val="FF6D01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Grafikler!$A$27:$A$38</c:f>
            </c:strRef>
          </c:cat>
          <c:val>
            <c:numRef>
              <c:f>Grafikler!$F$27:$F$38</c:f>
              <c:numCache/>
            </c:numRef>
          </c:val>
          <c:smooth val="0"/>
        </c:ser>
        <c:ser>
          <c:idx val="5"/>
          <c:order val="5"/>
          <c:tx>
            <c:strRef>
              <c:f>Grafikler!$G$26</c:f>
            </c:strRef>
          </c:tx>
          <c:spPr>
            <a:ln cmpd="sng">
              <a:solidFill>
                <a:srgbClr val="46BDC6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Grafikler!$A$27:$A$38</c:f>
            </c:strRef>
          </c:cat>
          <c:val>
            <c:numRef>
              <c:f>Grafikler!$G$27:$G$38</c:f>
              <c:numCache/>
            </c:numRef>
          </c:val>
          <c:smooth val="0"/>
        </c:ser>
        <c:axId val="2021671524"/>
        <c:axId val="666962973"/>
      </c:lineChart>
      <c:catAx>
        <c:axId val="2021671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6962973"/>
      </c:catAx>
      <c:valAx>
        <c:axId val="666962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67152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Vücut ağırlığı değişim grafiği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Grafikler!$G$26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Grafikler!$A$27:$A$38</c:f>
            </c:strRef>
          </c:cat>
          <c:val>
            <c:numRef>
              <c:f>Grafikler!$G$27:$G$38</c:f>
              <c:numCache/>
            </c:numRef>
          </c:val>
          <c:smooth val="0"/>
        </c:ser>
        <c:axId val="1250224605"/>
        <c:axId val="1432715416"/>
      </c:lineChart>
      <c:catAx>
        <c:axId val="1250224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715416"/>
      </c:catAx>
      <c:valAx>
        <c:axId val="1432715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224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8220075" cy="4067175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38100</xdr:colOff>
      <xdr:row>21</xdr:row>
      <xdr:rowOff>47625</xdr:rowOff>
    </xdr:from>
    <xdr:ext cx="8220075" cy="1581150"/>
    <xdr:graphicFrame>
      <xdr:nvGraphicFramePr>
        <xdr:cNvPr id="2" name="Chart 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fityemek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3.88"/>
    <col customWidth="1" min="3" max="3" width="15.63"/>
    <col customWidth="1" min="4" max="4" width="11.63"/>
    <col customWidth="1" min="5" max="5" width="17.25"/>
    <col customWidth="1" min="8" max="8" width="16.5"/>
    <col customWidth="1" min="9" max="10" width="5.63"/>
    <col customWidth="1" min="11" max="11" width="6.13"/>
    <col customWidth="1" min="12" max="12" width="5.88"/>
  </cols>
  <sheetData>
    <row r="1" ht="24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0.25" customHeight="1">
      <c r="A2" s="3" t="s">
        <v>1</v>
      </c>
      <c r="B2" s="4" t="s">
        <v>2</v>
      </c>
      <c r="C2" s="2"/>
      <c r="D2" s="5" t="s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0.25" customHeight="1">
      <c r="A3" s="3" t="s">
        <v>4</v>
      </c>
      <c r="B3" s="4">
        <v>78.8</v>
      </c>
      <c r="C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3"/>
      <c r="B5" s="6" t="s">
        <v>5</v>
      </c>
      <c r="D5" s="7"/>
      <c r="E5" s="6" t="s">
        <v>6</v>
      </c>
      <c r="F5" s="6" t="s">
        <v>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32.25" customHeight="1">
      <c r="A6" s="8" t="s">
        <v>8</v>
      </c>
      <c r="B6" s="9" t="s">
        <v>9</v>
      </c>
      <c r="C6" s="9" t="s">
        <v>10</v>
      </c>
      <c r="D6" s="10" t="s">
        <v>11</v>
      </c>
      <c r="E6" s="9" t="s">
        <v>12</v>
      </c>
      <c r="F6" s="9" t="s">
        <v>13</v>
      </c>
      <c r="G6" s="9" t="s">
        <v>14</v>
      </c>
      <c r="H6" s="11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2" t="s">
        <v>16</v>
      </c>
      <c r="B7" s="13">
        <v>10.0</v>
      </c>
      <c r="C7" s="13">
        <v>12.0</v>
      </c>
      <c r="D7" s="14">
        <f t="shared" ref="D7:D9" si="1">(B7*C7*0.0333)+B7</f>
        <v>13.996</v>
      </c>
      <c r="E7" s="3">
        <f>MROUND((D7*0.85*0.8),2.5)</f>
        <v>10</v>
      </c>
      <c r="F7" s="3">
        <v>2.5</v>
      </c>
      <c r="G7" s="3"/>
      <c r="H7" s="15" t="s">
        <v>17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2" t="s">
        <v>18</v>
      </c>
      <c r="B8" s="13">
        <v>20.0</v>
      </c>
      <c r="C8" s="13">
        <v>5.0</v>
      </c>
      <c r="D8" s="14">
        <f t="shared" si="1"/>
        <v>23.33</v>
      </c>
      <c r="E8" s="3">
        <f t="shared" ref="E8:E9" si="2">MROUND((D8*0.85*0.7),2.5)</f>
        <v>15</v>
      </c>
      <c r="F8" s="3">
        <v>5.0</v>
      </c>
      <c r="G8" s="3"/>
      <c r="H8" s="15" t="s">
        <v>17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2" t="s">
        <v>19</v>
      </c>
      <c r="B9" s="13">
        <v>25.0</v>
      </c>
      <c r="C9" s="13">
        <v>4.0</v>
      </c>
      <c r="D9" s="14">
        <f t="shared" si="1"/>
        <v>28.33</v>
      </c>
      <c r="E9" s="3">
        <f t="shared" si="2"/>
        <v>17.5</v>
      </c>
      <c r="F9" s="3">
        <v>2.5</v>
      </c>
      <c r="G9" s="3"/>
      <c r="H9" s="15" t="s">
        <v>17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6"/>
      <c r="B10" s="2"/>
      <c r="C10" s="2"/>
      <c r="D10" s="14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17" t="s">
        <v>20</v>
      </c>
      <c r="B11" s="3"/>
      <c r="C11" s="3"/>
      <c r="D11" s="14"/>
      <c r="E11" s="3"/>
      <c r="F11" s="2"/>
      <c r="G11" s="2"/>
      <c r="H11" s="2"/>
      <c r="I11" s="18"/>
      <c r="J11" s="18"/>
      <c r="K11" s="18"/>
      <c r="L11" s="1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9" t="s">
        <v>21</v>
      </c>
      <c r="B12" s="20">
        <v>10.0</v>
      </c>
      <c r="C12" s="13">
        <v>9.0</v>
      </c>
      <c r="D12" s="14">
        <f t="shared" ref="D12:D16" si="3">(B12*C12*0.0333)+B12</f>
        <v>12.997</v>
      </c>
      <c r="E12" s="3">
        <f t="shared" ref="E12:E16" si="4">MROUND((D12*0.85*0.6),2.5)</f>
        <v>7.5</v>
      </c>
      <c r="F12" s="3">
        <v>2.5</v>
      </c>
      <c r="G12" s="3"/>
      <c r="H12" s="3" t="s">
        <v>22</v>
      </c>
      <c r="I12" s="3"/>
      <c r="J12" s="3"/>
      <c r="K12" s="3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1" t="s">
        <v>23</v>
      </c>
      <c r="B13" s="13">
        <v>12.5</v>
      </c>
      <c r="C13" s="13">
        <v>13.0</v>
      </c>
      <c r="D13" s="14">
        <f t="shared" si="3"/>
        <v>17.91125</v>
      </c>
      <c r="E13" s="3">
        <f t="shared" si="4"/>
        <v>10</v>
      </c>
      <c r="F13" s="3">
        <v>5.0</v>
      </c>
      <c r="G13" s="3"/>
      <c r="H13" s="3" t="s">
        <v>24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1" t="s">
        <v>16</v>
      </c>
      <c r="B14" s="4">
        <v>10.0</v>
      </c>
      <c r="C14" s="4">
        <v>12.0</v>
      </c>
      <c r="D14" s="14">
        <f t="shared" si="3"/>
        <v>13.996</v>
      </c>
      <c r="E14" s="3">
        <f t="shared" si="4"/>
        <v>7.5</v>
      </c>
      <c r="F14" s="3">
        <v>2.5</v>
      </c>
      <c r="G14" s="3"/>
      <c r="H14" s="3" t="s">
        <v>22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1" t="s">
        <v>25</v>
      </c>
      <c r="B15" s="4">
        <v>30.0</v>
      </c>
      <c r="C15" s="4">
        <v>6.0</v>
      </c>
      <c r="D15" s="14">
        <f t="shared" si="3"/>
        <v>35.994</v>
      </c>
      <c r="E15" s="3">
        <f t="shared" si="4"/>
        <v>17.5</v>
      </c>
      <c r="F15" s="3">
        <v>2.5</v>
      </c>
      <c r="G15" s="3"/>
      <c r="H15" s="3" t="s">
        <v>26</v>
      </c>
      <c r="I15" s="2"/>
      <c r="J15" s="2"/>
      <c r="K15" s="2"/>
      <c r="L15" s="2"/>
      <c r="M15" s="2"/>
      <c r="N15" s="2"/>
      <c r="O15" s="22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1" t="s">
        <v>18</v>
      </c>
      <c r="B16" s="4">
        <v>20.0</v>
      </c>
      <c r="C16" s="4">
        <v>5.0</v>
      </c>
      <c r="D16" s="14">
        <f t="shared" si="3"/>
        <v>23.33</v>
      </c>
      <c r="E16" s="3">
        <f t="shared" si="4"/>
        <v>12.5</v>
      </c>
      <c r="F16" s="3">
        <v>2.5</v>
      </c>
      <c r="G16" s="3"/>
      <c r="H16" s="3" t="s">
        <v>22</v>
      </c>
      <c r="I16" s="2"/>
      <c r="J16" s="2"/>
      <c r="K16" s="2"/>
      <c r="L16" s="2"/>
      <c r="M16" s="2"/>
      <c r="N16" s="2"/>
      <c r="O16" s="3"/>
      <c r="P16" s="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1" t="s">
        <v>27</v>
      </c>
      <c r="B17" s="23"/>
      <c r="C17" s="23"/>
      <c r="D17" s="14"/>
      <c r="E17" s="24" t="s">
        <v>28</v>
      </c>
      <c r="F17" s="3"/>
      <c r="G17" s="3">
        <v>9.0</v>
      </c>
      <c r="H17" s="3" t="s">
        <v>29</v>
      </c>
      <c r="I17" s="2"/>
      <c r="J17" s="2"/>
      <c r="K17" s="2"/>
      <c r="L17" s="2"/>
      <c r="M17" s="2"/>
      <c r="N17" s="2"/>
      <c r="O17" s="3"/>
      <c r="P17" s="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14"/>
      <c r="E18" s="3"/>
      <c r="F18" s="2"/>
      <c r="G18" s="2"/>
      <c r="H18" s="2"/>
      <c r="I18" s="2"/>
      <c r="J18" s="2"/>
      <c r="K18" s="2"/>
      <c r="L18" s="2"/>
      <c r="M18" s="2"/>
      <c r="N18" s="2"/>
      <c r="O18" s="3"/>
      <c r="P18" s="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8" t="s">
        <v>30</v>
      </c>
      <c r="B19" s="2"/>
      <c r="C19" s="2"/>
      <c r="D19" s="14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 t="s">
        <v>31</v>
      </c>
      <c r="B20" s="4">
        <v>5.0</v>
      </c>
      <c r="C20" s="4">
        <v>10.0</v>
      </c>
      <c r="D20" s="14">
        <f t="shared" ref="D20:D23" si="5">(B20*C20*0.0333)+B20</f>
        <v>6.665</v>
      </c>
      <c r="E20" s="3">
        <f>MROUND((D20*0.85*0.6),2.5)</f>
        <v>2.5</v>
      </c>
      <c r="F20" s="3">
        <v>5.0</v>
      </c>
      <c r="G20" s="3">
        <v>9.0</v>
      </c>
      <c r="H20" s="3" t="s">
        <v>32</v>
      </c>
      <c r="I20" s="3"/>
      <c r="J20" s="3"/>
      <c r="K20" s="3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 t="s">
        <v>33</v>
      </c>
      <c r="B21" s="4">
        <v>35.0</v>
      </c>
      <c r="C21" s="4">
        <v>12.0</v>
      </c>
      <c r="D21" s="14">
        <f t="shared" si="5"/>
        <v>48.986</v>
      </c>
      <c r="E21" s="3">
        <f t="shared" ref="E21:E23" si="6">MROUND((D21*0.85*0.65),2.5)</f>
        <v>27.5</v>
      </c>
      <c r="F21" s="3">
        <v>5.0</v>
      </c>
      <c r="G21" s="3">
        <v>8.0</v>
      </c>
      <c r="H21" s="3" t="s">
        <v>32</v>
      </c>
      <c r="I21" s="3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 t="s">
        <v>34</v>
      </c>
      <c r="B22" s="4">
        <v>40.0</v>
      </c>
      <c r="C22" s="4">
        <v>7.0</v>
      </c>
      <c r="D22" s="14">
        <f t="shared" si="5"/>
        <v>49.324</v>
      </c>
      <c r="E22" s="3">
        <f t="shared" si="6"/>
        <v>27.5</v>
      </c>
      <c r="F22" s="3">
        <v>5.0</v>
      </c>
      <c r="G22" s="3">
        <v>8.0</v>
      </c>
      <c r="H22" s="3" t="s">
        <v>32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 t="s">
        <v>35</v>
      </c>
      <c r="B23" s="4">
        <v>7.5</v>
      </c>
      <c r="C23" s="4">
        <v>8.0</v>
      </c>
      <c r="D23" s="14">
        <f t="shared" si="5"/>
        <v>9.498</v>
      </c>
      <c r="E23" s="3">
        <f t="shared" si="6"/>
        <v>5</v>
      </c>
      <c r="F23" s="3">
        <v>5.0</v>
      </c>
      <c r="G23" s="3">
        <v>9.0</v>
      </c>
      <c r="H23" s="3" t="s">
        <v>32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14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8" t="s">
        <v>36</v>
      </c>
      <c r="B25" s="2"/>
      <c r="C25" s="2"/>
      <c r="D25" s="14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6" t="s">
        <v>37</v>
      </c>
      <c r="B26" s="4">
        <v>20.0</v>
      </c>
      <c r="C26" s="4">
        <v>4.0</v>
      </c>
      <c r="D26" s="14">
        <f t="shared" ref="D26:D27" si="7">(B26*C26*0.0333)+B26</f>
        <v>22.664</v>
      </c>
      <c r="E26" s="3">
        <f t="shared" ref="E26:E27" si="8">MROUND((D26*0.85*0.75),2.5)</f>
        <v>15</v>
      </c>
      <c r="F26" s="3">
        <v>5.0</v>
      </c>
      <c r="G26" s="3">
        <v>9.0</v>
      </c>
      <c r="H26" s="3" t="s">
        <v>38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6" t="s">
        <v>39</v>
      </c>
      <c r="B27" s="4">
        <v>5.0</v>
      </c>
      <c r="C27" s="4">
        <v>10.0</v>
      </c>
      <c r="D27" s="14">
        <f t="shared" si="7"/>
        <v>6.665</v>
      </c>
      <c r="E27" s="3">
        <f t="shared" si="8"/>
        <v>5</v>
      </c>
      <c r="F27" s="3">
        <v>5.0</v>
      </c>
      <c r="G27" s="3">
        <v>9.0</v>
      </c>
      <c r="H27" s="3" t="s">
        <v>38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6" t="s">
        <v>40</v>
      </c>
      <c r="B28" s="2"/>
      <c r="C28" s="2"/>
      <c r="D28" s="14"/>
      <c r="E28" s="24" t="s">
        <v>28</v>
      </c>
      <c r="F28" s="3"/>
      <c r="G28" s="3">
        <v>9.0</v>
      </c>
      <c r="H28" s="3" t="s">
        <v>29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6" t="s">
        <v>41</v>
      </c>
      <c r="B29" s="2"/>
      <c r="C29" s="2"/>
      <c r="D29" s="14"/>
      <c r="E29" s="24" t="s">
        <v>28</v>
      </c>
      <c r="F29" s="3"/>
      <c r="G29" s="3">
        <v>9.0</v>
      </c>
      <c r="H29" s="3" t="s">
        <v>29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6" t="s">
        <v>42</v>
      </c>
      <c r="B30" s="2"/>
      <c r="C30" s="2"/>
      <c r="D30" s="14"/>
      <c r="E30" s="24" t="s">
        <v>28</v>
      </c>
      <c r="F30" s="3"/>
      <c r="G30" s="3">
        <v>9.0</v>
      </c>
      <c r="H30" s="3" t="s">
        <v>29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8" t="s">
        <v>43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3" t="s">
        <v>44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</sheetData>
  <mergeCells count="4">
    <mergeCell ref="A1:H1"/>
    <mergeCell ref="D2:H3"/>
    <mergeCell ref="B5:C5"/>
    <mergeCell ref="F5:H5"/>
  </mergeCells>
  <dataValidations>
    <dataValidation type="list" allowBlank="1" sqref="A20">
      <formula1>"Lateral Raises,Cable Lateral Raises,Machine Lateral Raises"</formula1>
    </dataValidation>
    <dataValidation type="list" allowBlank="1" showInputMessage="1" prompt="tıkla ve seç" sqref="B2">
      <formula1>"erkek,kadın"</formula1>
    </dataValidation>
    <dataValidation type="list" allowBlank="1" sqref="A12">
      <formula1>"DB Shoulder Press,Shoulder Press Machine,Over Head Press"</formula1>
    </dataValidation>
    <dataValidation type="list" allowBlank="1" sqref="A21">
      <formula1>"Lat Pulldown,High Row Machine,Single Arm Pulldown"</formula1>
    </dataValidation>
    <dataValidation type="list" allowBlank="1" sqref="A27">
      <formula1>"Incline Dumbbell Curl,Dumbbell Curl,Cable Curl"</formula1>
    </dataValidation>
    <dataValidation type="list" allowBlank="1" sqref="A23">
      <formula1>"Leg Extension,Dumbbell Lunges,Bulgarian Split Squat"</formula1>
    </dataValidation>
    <dataValidation type="list" allowBlank="1" sqref="A22">
      <formula1>"Chest Fly Machine,Dumbbell Chest Fly,Cable Chest Fly"</formula1>
    </dataValidation>
    <dataValidation type="list" allowBlank="1" sqref="A26">
      <formula1>"Cable Pushdown,Overhead Triceps Extension,Skull Crushers"</formula1>
    </dataValidation>
    <dataValidation type="list" allowBlank="1" sqref="A8 A16">
      <formula1>"Squat,Leg Press,Hack Squat"</formula1>
    </dataValidation>
    <dataValidation type="list" allowBlank="1" sqref="A17">
      <formula1>"Pull Ups,Assisted Pull Ups,Negative Pull Ups"</formula1>
    </dataValidation>
    <dataValidation type="list" allowBlank="1" sqref="A15">
      <formula1>"Barbell Row,T-Bar Row,Machine Row"</formula1>
    </dataValidation>
    <dataValidation type="list" allowBlank="1" sqref="A13">
      <formula1>"Romanian DL,Dumbbell Romanian Deadlift,Hip Thrust"</formula1>
    </dataValidation>
    <dataValidation type="list" allowBlank="1" sqref="A7 A14">
      <formula1>"Bench Press,Dumbbell Chest Press,Incline Bench Press"</formula1>
    </dataValidation>
    <dataValidation type="list" allowBlank="1" sqref="A9">
      <formula1>"Over Head Press,Dumbbell Shoulder Press,Smith Machine Shoulder Press"</formula1>
    </dataValidation>
    <dataValidation type="list" allowBlank="1" sqref="A28:A30">
      <formula1>"Crunch,Leg Raises,Plank,Deadbug"</formula1>
    </dataValidation>
  </dataValidations>
  <hyperlinks>
    <hyperlink r:id="rId1" ref="D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11.5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'Başlangıç'!$E$7</f>
        <v>10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5</v>
      </c>
      <c r="F5" s="34">
        <f>MROUND((B5*0.7),2.5)</f>
        <v>7.5</v>
      </c>
      <c r="G5" s="32">
        <f>MROUND((B5*0.85),2.5)</f>
        <v>7.5</v>
      </c>
      <c r="H5" s="35">
        <v>5.0</v>
      </c>
      <c r="I5" s="35">
        <v>5.0</v>
      </c>
      <c r="J5" s="36">
        <v>5.0</v>
      </c>
      <c r="K5" s="37">
        <v>5.0</v>
      </c>
      <c r="L5" s="33" t="s">
        <v>56</v>
      </c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'Başlangıç'!$E$12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27">
        <v>8.0</v>
      </c>
      <c r="I6" s="27">
        <v>7.0</v>
      </c>
      <c r="J6" s="27">
        <v>5.0</v>
      </c>
      <c r="K6" s="2"/>
      <c r="L6" s="21" t="s">
        <v>59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'Başlangıç'!$E$13</f>
        <v>10</v>
      </c>
      <c r="C7" s="39" t="str">
        <f>'Başlangıç'!$H$13</f>
        <v>3x8</v>
      </c>
      <c r="D7" s="39" t="str">
        <f>'Başlangıç'!$G$13</f>
        <v/>
      </c>
      <c r="E7" s="41">
        <f t="shared" si="1"/>
        <v>5</v>
      </c>
      <c r="F7" s="41">
        <f t="shared" si="2"/>
        <v>7.5</v>
      </c>
      <c r="G7" s="40" t="s">
        <v>58</v>
      </c>
      <c r="H7" s="27">
        <v>8.0</v>
      </c>
      <c r="I7" s="27">
        <v>8.0</v>
      </c>
      <c r="J7" s="27">
        <v>8.0</v>
      </c>
      <c r="K7" s="2"/>
      <c r="L7" s="21" t="s">
        <v>59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'Başlangıç'!$E$21</f>
        <v>27.5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44">
        <v>14.0</v>
      </c>
      <c r="I8" s="44">
        <v>14.0</v>
      </c>
      <c r="J8" s="45">
        <v>15.0</v>
      </c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'Başlangıç'!$E$23</f>
        <v>5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44">
        <v>12.0</v>
      </c>
      <c r="I9" s="46">
        <v>12.0</v>
      </c>
      <c r="J9" s="46">
        <v>10.0</v>
      </c>
      <c r="K9" s="2"/>
      <c r="L9" s="25" t="s">
        <v>59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49">
        <v>20.0</v>
      </c>
      <c r="I10" s="50">
        <v>20.0</v>
      </c>
      <c r="J10" s="50">
        <v>20.0</v>
      </c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'Başlangıç'!$A$33</f>
        <v>Push-Up</v>
      </c>
      <c r="B11" s="2"/>
      <c r="C11" s="2"/>
      <c r="D11" s="2"/>
      <c r="E11" s="2"/>
      <c r="F11" s="2"/>
      <c r="G11" s="2"/>
      <c r="H11" s="51">
        <v>5.0</v>
      </c>
      <c r="I11" s="51">
        <v>5.0</v>
      </c>
      <c r="J11" s="51">
        <v>3.0</v>
      </c>
      <c r="K11" s="51"/>
      <c r="L11" s="5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18.5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'Başlangıç'!$E$8</f>
        <v>15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10</v>
      </c>
      <c r="F15" s="34">
        <f>MROUND((B15*0.7),2.5)</f>
        <v>10</v>
      </c>
      <c r="G15" s="32">
        <f>MROUND((B15*0.85),2.5)</f>
        <v>12.5</v>
      </c>
      <c r="H15" s="35">
        <v>5.0</v>
      </c>
      <c r="I15" s="35">
        <v>5.0</v>
      </c>
      <c r="J15" s="35">
        <v>5.0</v>
      </c>
      <c r="K15" s="37">
        <v>7.0</v>
      </c>
      <c r="L15" s="33" t="s">
        <v>61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'Başlangıç'!$E$14</f>
        <v>7.5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27">
        <v>10.0</v>
      </c>
      <c r="I16" s="27">
        <v>8.0</v>
      </c>
      <c r="J16" s="27">
        <v>5.0</v>
      </c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27" t="s">
        <v>58</v>
      </c>
      <c r="I17" s="27" t="s">
        <v>58</v>
      </c>
      <c r="J17" s="27" t="s">
        <v>58</v>
      </c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'Başlangıç'!$E$20</f>
        <v>2.5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44">
        <v>14.0</v>
      </c>
      <c r="I18" s="45">
        <v>14.0</v>
      </c>
      <c r="J18" s="45">
        <v>15.0</v>
      </c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'Başlangıç'!$E$27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54">
        <v>12.0</v>
      </c>
      <c r="I19" s="50">
        <v>12.0</v>
      </c>
      <c r="J19" s="50">
        <v>10.0</v>
      </c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49">
        <v>12.0</v>
      </c>
      <c r="I20" s="50">
        <v>10.0</v>
      </c>
      <c r="J20" s="50">
        <v>10.0</v>
      </c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21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'Başlangıç'!$E$9</f>
        <v>17.5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10</v>
      </c>
      <c r="F25" s="34">
        <f>MROUND((B25*0.7),2.5)</f>
        <v>12.5</v>
      </c>
      <c r="G25" s="32">
        <f>MROUND((B25*0.85),2.5)</f>
        <v>15</v>
      </c>
      <c r="H25" s="35">
        <v>6.0</v>
      </c>
      <c r="I25" s="35">
        <v>5.0</v>
      </c>
      <c r="J25" s="36">
        <v>5.0</v>
      </c>
      <c r="K25" s="37">
        <v>5.0</v>
      </c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'Başlangıç'!$E$16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27">
        <v>10.0</v>
      </c>
      <c r="I26" s="27">
        <v>10.0</v>
      </c>
      <c r="J26" s="27">
        <v>7.0</v>
      </c>
      <c r="K26" s="2"/>
      <c r="L26" s="21" t="s">
        <v>61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'Başlangıç'!$E$15</f>
        <v>17.5</v>
      </c>
      <c r="C27" s="39" t="str">
        <f>'Başlangıç'!$H$15</f>
        <v>4x10</v>
      </c>
      <c r="D27" s="39" t="str">
        <f>'Başlangıç'!$G$15</f>
        <v/>
      </c>
      <c r="E27" s="39">
        <f t="shared" si="4"/>
        <v>10</v>
      </c>
      <c r="F27" s="39">
        <f t="shared" si="5"/>
        <v>15</v>
      </c>
      <c r="G27" s="40" t="s">
        <v>58</v>
      </c>
      <c r="H27" s="27">
        <v>10.0</v>
      </c>
      <c r="I27" s="27">
        <v>10.0</v>
      </c>
      <c r="J27" s="27">
        <v>10.0</v>
      </c>
      <c r="K27" s="27">
        <v>12.0</v>
      </c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'Başlangıç'!$E$22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44">
        <v>14.0</v>
      </c>
      <c r="I28" s="44">
        <v>12.0</v>
      </c>
      <c r="J28" s="44">
        <v>8.0</v>
      </c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'Başlangıç'!$E$26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49">
        <v>7.0</v>
      </c>
      <c r="I29" s="50">
        <v>5.0</v>
      </c>
      <c r="J29" s="50">
        <v>5.0</v>
      </c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49">
        <v>10.0</v>
      </c>
      <c r="I30" s="50">
        <v>6.0</v>
      </c>
      <c r="J30" s="50">
        <v>5.0</v>
      </c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0">
    <mergeCell ref="C23:F23"/>
    <mergeCell ref="G23:H23"/>
    <mergeCell ref="E24:G24"/>
    <mergeCell ref="C3:F3"/>
    <mergeCell ref="G3:H3"/>
    <mergeCell ref="E4:G4"/>
    <mergeCell ref="M5:M9"/>
    <mergeCell ref="C13:F13"/>
    <mergeCell ref="G13:H13"/>
    <mergeCell ref="E14:G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v>79.8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16</v>
      </c>
      <c r="J3" s="29"/>
      <c r="K3" s="29"/>
      <c r="L3" s="55">
        <v>46139.0</v>
      </c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1'!$K$5&gt;=5,(('Hafta 1'!$B$5)+('Başlangıç'!$F$7)),MROUND(('Hafta 1'!$B$5*0.9),2.5))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>
        <v>5.0</v>
      </c>
      <c r="I5" s="35">
        <v>5.0</v>
      </c>
      <c r="J5" s="36">
        <v>5.0</v>
      </c>
      <c r="K5" s="37">
        <v>8.0</v>
      </c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1'!$J$6=10,(('Hafta 1'!$B$6)+('Başlangıç'!$F$12)),MROUND(('Hafta 1'!$B$6*0.9),2.5))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27">
        <v>10.0</v>
      </c>
      <c r="I6" s="27">
        <v>8.0</v>
      </c>
      <c r="J6" s="27">
        <v>8.0</v>
      </c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1'!$J$7=8,(('Hafta 1'!$B$7)+('Başlangıç'!$F$13)),MROUND(('Hafta 1'!$B$7*0.9),2.5))</f>
        <v>15</v>
      </c>
      <c r="C7" s="39" t="str">
        <f>'Başlangıç'!$H$13</f>
        <v>3x8</v>
      </c>
      <c r="D7" s="39" t="str">
        <f>'Başlangıç'!$G$13</f>
        <v/>
      </c>
      <c r="E7" s="41">
        <f t="shared" si="1"/>
        <v>10</v>
      </c>
      <c r="F7" s="41">
        <f t="shared" si="2"/>
        <v>12.5</v>
      </c>
      <c r="G7" s="40" t="s">
        <v>58</v>
      </c>
      <c r="H7" s="27">
        <v>8.0</v>
      </c>
      <c r="I7" s="27">
        <v>8.0</v>
      </c>
      <c r="J7" s="27">
        <v>8.0</v>
      </c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1'!$H$8+'Hafta 1'!$I$8+'Hafta 1'!$J$8&gt;=42,'Hafta 1'!$B$8+'Başlangıç'!$F$21,'Hafta 1'!$B$8)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44">
        <v>14.0</v>
      </c>
      <c r="I8" s="44">
        <v>14.0</v>
      </c>
      <c r="J8" s="45">
        <v>12.0</v>
      </c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1'!$H$9+'Hafta 1'!$I$9+'Hafta 1'!$J$9&gt;=42,'Hafta 1'!$B$9+'Başlangıç'!$F$23,'Hafta 1'!$B$9)</f>
        <v>5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44">
        <v>14.0</v>
      </c>
      <c r="I9" s="46">
        <v>14.0</v>
      </c>
      <c r="J9" s="46">
        <v>14.0</v>
      </c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49">
        <v>30.0</v>
      </c>
      <c r="I10" s="50">
        <v>32.0</v>
      </c>
      <c r="J10" s="50">
        <v>30.0</v>
      </c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63</v>
      </c>
      <c r="B11" s="2"/>
      <c r="C11" s="2"/>
      <c r="D11" s="2"/>
      <c r="E11" s="2"/>
      <c r="F11" s="2"/>
      <c r="G11" s="2"/>
      <c r="H11" s="51">
        <v>7.0</v>
      </c>
      <c r="I11" s="51">
        <v>5.0</v>
      </c>
      <c r="J11" s="51">
        <v>3.0</v>
      </c>
      <c r="K11" s="51"/>
      <c r="L11" s="5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24.5</v>
      </c>
      <c r="J13" s="29"/>
      <c r="K13" s="52"/>
      <c r="L13" s="56">
        <v>46141.0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1'!$K$15&gt;=5,(('Hafta 1'!$B$15)+('Başlangıç'!$F$8)),MROUND(('Hafta 1'!$B$15*0.9),2.5))</f>
        <v>20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12.5</v>
      </c>
      <c r="F15" s="34">
        <f>MROUND((B15*0.7),2.5)</f>
        <v>15</v>
      </c>
      <c r="G15" s="32">
        <f>MROUND((B15*0.85),2.5)</f>
        <v>17.5</v>
      </c>
      <c r="H15" s="35">
        <v>5.0</v>
      </c>
      <c r="I15" s="35">
        <v>5.0</v>
      </c>
      <c r="J15" s="35">
        <v>5.0</v>
      </c>
      <c r="K15" s="37">
        <v>7.0</v>
      </c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1'!$J$16=10,(('Hafta 1'!$B$16)+('Başlangıç'!$F$14)),MROUND(('Hafta 1'!$B$16*0.9),2.5))</f>
        <v>7.5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27">
        <v>10.0</v>
      </c>
      <c r="I16" s="27">
        <v>10.0</v>
      </c>
      <c r="J16" s="27">
        <v>10.0</v>
      </c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v>5.0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44">
        <v>13.0</v>
      </c>
      <c r="I18" s="45">
        <v>12.0</v>
      </c>
      <c r="J18" s="45">
        <v>9.0</v>
      </c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1'!$H$19+'Hafta 1'!$I$19+'Hafta 1'!$J$19&gt;=36,'Hafta 1'!$B$19+'Başlangıç'!$F$27,'Hafta 1'!$B$19)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54">
        <v>11.0</v>
      </c>
      <c r="I19" s="50">
        <v>8.0</v>
      </c>
      <c r="J19" s="50">
        <v>6.0</v>
      </c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49">
        <v>17.0</v>
      </c>
      <c r="I20" s="50">
        <v>17.0</v>
      </c>
      <c r="J20" s="50">
        <v>13.0</v>
      </c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1'!$K$25&gt;=5,(('Hafta 1'!$B$25)+('Başlangıç'!$F$9)),MROUND(('Hafta 1'!$B$25*0.9),2.5))</f>
        <v>20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12.5</v>
      </c>
      <c r="F25" s="34">
        <f>MROUND((B25*0.7),2.5)</f>
        <v>15</v>
      </c>
      <c r="G25" s="32">
        <f>MROUND((B25*0.85),2.5)</f>
        <v>17.5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1'!$J$26=10,(('Hafta 1'!$B$26)+('Başlangıç'!$F$16)),MROUND(('Hafta 1'!$B$26*0.9),2.5))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1'!$K$27=10,(('Hafta 1'!$B$27)+('Başlangıç'!$F$15)),MROUND(('Hafta 1'!$B$27*0.9),2.5))</f>
        <v>15</v>
      </c>
      <c r="C27" s="39" t="str">
        <f>'Başlangıç'!$H$15</f>
        <v>4x10</v>
      </c>
      <c r="D27" s="39" t="str">
        <f>'Başlangıç'!$G$15</f>
        <v/>
      </c>
      <c r="E27" s="39">
        <f t="shared" si="4"/>
        <v>10</v>
      </c>
      <c r="F27" s="39">
        <f t="shared" si="5"/>
        <v>12.5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1'!$H$28+'Hafta 1'!$I$28+'Hafta 1'!$J$28&gt;=42,'Hafta 1'!$B$28+'Başlangıç'!$F$22,'Hafta 1'!$B$28)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1'!$H$29+'Hafta 1'!$I$29+'Hafta 1'!$J$29&gt;=36,'Hafta 1'!$B$29+'Başlangıç'!$F$26,'Hafta 1'!$B$29)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0">
    <mergeCell ref="C23:F23"/>
    <mergeCell ref="G23:H23"/>
    <mergeCell ref="E24:G24"/>
    <mergeCell ref="C3:F3"/>
    <mergeCell ref="G3:H3"/>
    <mergeCell ref="E4:G4"/>
    <mergeCell ref="M5:M9"/>
    <mergeCell ref="C13:F13"/>
    <mergeCell ref="G13:H13"/>
    <mergeCell ref="E14:G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2'!$K$5&gt;=5,(('Hafta 2'!$B$5)+('Başlangıç'!$F$7)),MROUND(('Hafta 2'!$B$5*0.9),2.5))</f>
        <v>15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10</v>
      </c>
      <c r="F5" s="34">
        <f>MROUND((B5*0.7),2.5)</f>
        <v>10</v>
      </c>
      <c r="G5" s="32">
        <f>MROUND((B5*0.85),2.5)</f>
        <v>12.5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2'!$J$6=10,(('Hafta 2'!$B$6)+('Başlangıç'!$F$12)),MROUND(('Hafta 2'!$B$6*0.9),2.5))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2'!$J$7=8,(('Hafta 2'!$B$7)+('Başlangıç'!$F$13)),MROUND(('Hafta 2'!$B$7*0.9),2.5))</f>
        <v>20</v>
      </c>
      <c r="C7" s="39" t="str">
        <f>'Başlangıç'!$H$13</f>
        <v>3x8</v>
      </c>
      <c r="D7" s="39" t="str">
        <f>'Başlangıç'!$G$13</f>
        <v/>
      </c>
      <c r="E7" s="41">
        <f t="shared" si="1"/>
        <v>12.5</v>
      </c>
      <c r="F7" s="41">
        <f t="shared" si="2"/>
        <v>17.5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2'!$H$8+'Hafta 2'!$I$8+'Hafta 2'!$J$8&gt;=42,'Hafta 2'!$B$8+'Başlangıç'!$F$21,'Hafta 2'!$B$8)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2'!$H$9+'Hafta 2'!$I$9+'Hafta 2'!$J$9&gt;=42,'Hafta 2'!$B$9+'Başlangıç'!$F$23,'Hafta 2'!$B$9)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2'!$K$15&gt;=5,(('Hafta 2'!$B$15)+('Başlangıç'!$F$8)),MROUND(('Hafta 2'!$B$15*0.9),2.5))</f>
        <v>25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15</v>
      </c>
      <c r="F15" s="34">
        <f>MROUND((B15*0.7),2.5)</f>
        <v>17.5</v>
      </c>
      <c r="G15" s="32">
        <f>MROUND((B15*0.85),2.5)</f>
        <v>22.5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2'!$J$16=10,(('Hafta 2'!$B$16)+('Başlangıç'!$F$14)),MROUND(('Hafta 2'!$B$16*0.9),2.5))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2'!$H$18+'Hafta 2'!$I$18+'Hafta 2'!$J$18&gt;=42,'Hafta 2'!$B$18+'Başlangıç'!$F$20,'Hafta 2'!$B$18)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2'!$H$19+'Hafta 2'!$I$19+'Hafta 2'!$J$19&gt;=36,'Hafta 2'!$B$19+'Başlangıç'!$F$27,'Hafta 2'!$B$19)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2'!$K$25&gt;=5,(('Hafta 2'!$B$25)+('Başlangıç'!$F$9)),MROUND(('Hafta 2'!$B$25*0.9),2.5))</f>
        <v>17.5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10</v>
      </c>
      <c r="F25" s="34">
        <f>MROUND((B25*0.7),2.5)</f>
        <v>12.5</v>
      </c>
      <c r="G25" s="32">
        <f>MROUND((B25*0.85),2.5)</f>
        <v>15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2'!$J$26=10,(('Hafta 2'!$B$26)+('Başlangıç'!$F$16)),MROUND(('Hafta 2'!$B$26*0.9),2.5))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2'!$K$27=10,(('Hafta 2'!$B$27)+('Başlangıç'!$F$15)),MROUND(('Hafta 2'!$B$27*0.9),2.5))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2'!$H$28+'Hafta 2'!$I$28+'Hafta 2'!$J$28&gt;=42,'Hafta 2'!$B$28+'Başlangıç'!$F$22,'Hafta 2'!$B$28)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2'!$H$29+'Hafta 2'!$I$29+'Hafta 2'!$J$29&gt;=36,'Hafta 2'!$B$29+'Başlangıç'!$F$26,'Hafta 2'!$B$29)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3'!$K$5&gt;=5,(('Hafta 3'!$B$5)+('Başlangıç'!$F$7)),MROUND(('Hafta 3'!$B$5*0.9),2.5))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3'!$J$6=10,(('Hafta 3'!$B$6)+('Başlangıç'!$F$12)),MROUND(('Hafta 3'!$B$6*0.9),2.5))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3'!$J$7=8,(('Hafta 3'!$B$7)+('Başlangıç'!$F$13)),MROUND(('Hafta 3'!$B$7*0.9),2.5))</f>
        <v>17.5</v>
      </c>
      <c r="C7" s="39" t="str">
        <f>'Başlangıç'!$H$13</f>
        <v>3x8</v>
      </c>
      <c r="D7" s="39" t="str">
        <f>'Başlangıç'!$G$13</f>
        <v/>
      </c>
      <c r="E7" s="41">
        <f t="shared" si="1"/>
        <v>10</v>
      </c>
      <c r="F7" s="41">
        <f t="shared" si="2"/>
        <v>15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3'!$H$8+'Hafta 3'!$I$8+'Hafta 3'!$J$8&gt;=42,'Hafta 3'!$B$8+'Başlangıç'!$F$21,'Hafta 3'!$B$8)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3'!$H$9+'Hafta 3'!$I$9+'Hafta 3'!$J$9&gt;=42,'Hafta 3'!$B$9+'Başlangıç'!$F$23,'Hafta 3'!$B$9)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3'!$K$15&gt;=5,(('Hafta 3'!$B$15)+('Başlangıç'!$F$8)),MROUND(('Hafta 3'!$B$15*0.9),2.5))</f>
        <v>22.5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12.5</v>
      </c>
      <c r="F15" s="34">
        <f>MROUND((B15*0.7),2.5)</f>
        <v>15</v>
      </c>
      <c r="G15" s="32">
        <f>MROUND((B15*0.85),2.5)</f>
        <v>20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3'!$J$16=10,(('Hafta 3'!$B$16)+('Başlangıç'!$F$14)),MROUND(('Hafta 3'!$B$16*0.9),2.5))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3'!$H$18+'Hafta 3'!$I$18+'Hafta 3'!$J$18&gt;=42,'Hafta 3'!$B$18+'Başlangıç'!$F$20,'Hafta 3'!$B$18)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3'!$H$19+'Hafta 3'!$I$19+'Hafta 3'!$J$19&gt;=36,'Hafta 3'!$B$19+'Başlangıç'!$F$27,'Hafta 3'!$B$19)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3'!$K$25&gt;=5,(('Hafta 3'!$B$25)+('Başlangıç'!$F$9)),MROUND(('Hafta 3'!$B$25*0.9),2.5))</f>
        <v>15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10</v>
      </c>
      <c r="F25" s="34">
        <f>MROUND((B25*0.7),2.5)</f>
        <v>10</v>
      </c>
      <c r="G25" s="32">
        <f>MROUND((B25*0.85),2.5)</f>
        <v>12.5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3'!$J$26=10,(('Hafta 3'!$B$26)+('Başlangıç'!$F$16)),MROUND(('Hafta 3'!$B$26*0.9),2.5))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3'!$K$27=10,(('Hafta 3'!$B$27)+('Başlangıç'!$F$15)),MROUND(('Hafta 3'!$B$27*0.9),2.5))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3'!$H$28+'Hafta 3'!$I$28+'Hafta 3'!$J$28&gt;=42,'Hafta 3'!$B$28+'Başlangıç'!$F$22,'Hafta 3'!$B$28)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3'!$H$29+'Hafta 3'!$I$29+'Hafta 3'!$J$29&gt;=36,'Hafta 3'!$B$29+'Başlangıç'!$F$26,'Hafta 3'!$B$29)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4'!$K$5&gt;=5,(('Hafta 4'!$B$5)+('Başlangıç'!$F$7)),MROUND(('Hafta 4'!$B$5*0.9),2.5))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4'!$J$6=10,(('Hafta 4'!$B$6)+('Başlangıç'!$F$12)),MROUND(('Hafta 4'!$B$6*0.9),2.5))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4'!$J$7=8,(('Hafta 4'!$B$7)+('Başlangıç'!$F$13)),MROUND(('Hafta 4'!$B$7*0.9),2.5))</f>
        <v>15</v>
      </c>
      <c r="C7" s="39" t="str">
        <f>'Başlangıç'!$H$13</f>
        <v>3x8</v>
      </c>
      <c r="D7" s="39" t="str">
        <f>'Başlangıç'!$G$13</f>
        <v/>
      </c>
      <c r="E7" s="41">
        <f t="shared" si="1"/>
        <v>10</v>
      </c>
      <c r="F7" s="41">
        <f t="shared" si="2"/>
        <v>12.5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4'!$H$8+'Hafta 4'!$I$8+'Hafta 4'!$J$8&gt;=42,'Hafta 4'!$B$8+'Başlangıç'!$F$21,'Hafta 4'!$B$8)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4'!$H$9+'Hafta 4'!$I$9+'Hafta 4'!$J$9&gt;=42,'Hafta 4'!$B$9+'Başlangıç'!$F$23,'Hafta 4'!$B$9)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4'!$K$15&gt;=5,(('Hafta 4'!$B$15)+('Başlangıç'!$F$8)),MROUND(('Hafta 4'!$B$15*0.9),2.5))</f>
        <v>20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12.5</v>
      </c>
      <c r="F15" s="34">
        <f>MROUND((B15*0.7),2.5)</f>
        <v>15</v>
      </c>
      <c r="G15" s="32">
        <f>MROUND((B15*0.85),2.5)</f>
        <v>17.5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4'!$J$16=10,(('Hafta 4'!$B$16)+('Başlangıç'!$F$14)),MROUND(('Hafta 4'!$B$16*0.9),2.5))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4'!$H$18+'Hafta 4'!$I$18+'Hafta 4'!$J$18&gt;=42,'Hafta 4'!$B$18+'Başlangıç'!$F$20,'Hafta 4'!$B$18)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4'!$H$19+'Hafta 4'!$I$19+'Hafta 4'!$J$19&gt;=36,'Hafta 4'!$B$19+'Başlangıç'!$F$27,'Hafta 4'!$B$19)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4'!$K$25&gt;=5,(('Hafta 4'!$B$25)+('Başlangıç'!$F$9)),MROUND(('Hafta 4'!$B$25*0.9),2.5))</f>
        <v>12.5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7.5</v>
      </c>
      <c r="F25" s="34">
        <f>MROUND((B25*0.7),2.5)</f>
        <v>10</v>
      </c>
      <c r="G25" s="32">
        <f>MROUND((B25*0.85),2.5)</f>
        <v>10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4'!$J$26=10,(('Hafta 4'!$B$26)+('Başlangıç'!$F$16)),MROUND(('Hafta 4'!$B$26*0.9),2.5))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4'!$K$27=10,(('Hafta 4'!$B$27)+('Başlangıç'!$F$15)),MROUND(('Hafta 4'!$B$27*0.9),2.5))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4'!$H$28+'Hafta 4'!$I$28+'Hafta 4'!$J$28&gt;=42,'Hafta 4'!$B$28+'Başlangıç'!$F$22,'Hafta 4'!$B$28)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4'!$H$29+'Hafta 4'!$I$29+'Hafta 4'!$J$29&gt;=36,'Hafta 4'!$B$29+'Başlangıç'!$F$26,'Hafta 4'!$B$29)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5'!$K$5&gt;=5,(('Hafta 5'!$B$5)+('Başlangıç'!$F$7)),MROUND(('Hafta 5'!$B$5*0.9),2.5))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5'!$J$6=10,(('Hafta 5'!$B$6)+('Başlangıç'!$F$12)),MROUND(('Hafta 5'!$B$6*0.9),2.5))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5'!$J$7=8,(('Hafta 5'!$B$7)+('Başlangıç'!$F$13)),MROUND(('Hafta 5'!$B$7*0.9),2.5))</f>
        <v>12.5</v>
      </c>
      <c r="C7" s="39" t="str">
        <f>'Başlangıç'!$H$13</f>
        <v>3x8</v>
      </c>
      <c r="D7" s="39" t="str">
        <f>'Başlangıç'!$G$13</f>
        <v/>
      </c>
      <c r="E7" s="41">
        <f t="shared" si="1"/>
        <v>7.5</v>
      </c>
      <c r="F7" s="41">
        <f t="shared" si="2"/>
        <v>10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5'!$H$8+'Hafta 5'!$I$8+'Hafta 5'!$J$8&gt;=42,'Hafta 5'!$B$8+'Başlangıç'!$F$21,'Hafta 5'!$B$8)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5'!$H$9+'Hafta 5'!$I$9+'Hafta 5'!$J$9&gt;=42,'Hafta 5'!$B$9+'Başlangıç'!$F$23,'Hafta 5'!$B$9)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5'!$K$15&gt;=5,(('Hafta 5'!$B$15)+('Başlangıç'!$F$8)),MROUND(('Hafta 5'!$B$15*0.9),2.5))</f>
        <v>17.5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10</v>
      </c>
      <c r="F15" s="34">
        <f>MROUND((B15*0.7),2.5)</f>
        <v>12.5</v>
      </c>
      <c r="G15" s="32">
        <f>MROUND((B15*0.85),2.5)</f>
        <v>15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5'!$J$16=10,(('Hafta 5'!$B$16)+('Başlangıç'!$F$14)),MROUND(('Hafta 5'!$B$16*0.9),2.5))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5'!$H$18+'Hafta 5'!$I$18+'Hafta 5'!$J$18&gt;=42,'Hafta 5'!$B$18+'Başlangıç'!$F$20,'Hafta 5'!$B$18)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5'!$H$19+'Hafta 5'!$I$19+'Hafta 5'!$J$19&gt;=36,'Hafta 5'!$B$19+'Başlangıç'!$F$27,'Hafta 5'!$B$19)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5'!$K$25&gt;=5,(('Hafta 5'!$B$25)+('Başlangıç'!$F$9)),MROUND(('Hafta 5'!$B$25*0.9),2.5))</f>
        <v>12.5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7.5</v>
      </c>
      <c r="F25" s="34">
        <f>MROUND((B25*0.7),2.5)</f>
        <v>10</v>
      </c>
      <c r="G25" s="32">
        <f>MROUND((B25*0.85),2.5)</f>
        <v>10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5'!$J$26=10,(('Hafta 5'!$B$26)+('Başlangıç'!$F$16)),MROUND(('Hafta 5'!$B$26*0.9),2.5))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5'!$K$27=10,(('Hafta 5'!$B$27)+('Başlangıç'!$F$15)),MROUND(('Hafta 5'!$B$27*0.9),2.5))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5'!$H$28+'Hafta 5'!$I$28+'Hafta 5'!$J$28&gt;=42,'Hafta 5'!$B$28+'Başlangıç'!$F$22,'Hafta 5'!$B$28)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5'!$H$29+'Hafta 5'!$I$29+'Hafta 5'!$J$29&gt;=36,'Hafta 5'!$B$29+'Başlangıç'!$F$26,'Hafta 5'!$B$29)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6'!$K$5&gt;=5,(('Hafta 6'!$B$5)+('Başlangıç'!$F$7)),MROUND(('Hafta 6'!$B$5*0.9),2.5))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6'!$J$6=10,(('Hafta 6'!$B$6)+('Başlangıç'!$F$12)),MROUND(('Hafta 6'!$B$6*0.9),2.5))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6'!$J$7=8,(('Hafta 6'!$B$7)+('Başlangıç'!$F$13)),MROUND(('Hafta 6'!$B$7*0.9),2.5))</f>
        <v>12.5</v>
      </c>
      <c r="C7" s="39" t="str">
        <f>'Başlangıç'!$H$13</f>
        <v>3x8</v>
      </c>
      <c r="D7" s="39" t="str">
        <f>'Başlangıç'!$G$13</f>
        <v/>
      </c>
      <c r="E7" s="41">
        <f t="shared" si="1"/>
        <v>7.5</v>
      </c>
      <c r="F7" s="41">
        <f t="shared" si="2"/>
        <v>10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6'!$H$8+'Hafta 6'!$I$8+'Hafta 6'!$J$8&gt;=42,'Hafta 6'!$B$8+'Başlangıç'!$F$21,'Hafta 6'!$B$8)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6'!$H$9+'Hafta 6'!$I$9+'Hafta 6'!$J$9&gt;=42,'Hafta 6'!$B$9+'Başlangıç'!$F$23,'Hafta 6'!$B$9)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6'!$K$15&gt;=5,(('Hafta 6'!$B$15)+('Başlangıç'!$F$8)),MROUND(('Hafta 6'!$B$15*0.9),2.5))</f>
        <v>15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10</v>
      </c>
      <c r="F15" s="34">
        <f>MROUND((B15*0.7),2.5)</f>
        <v>10</v>
      </c>
      <c r="G15" s="32">
        <f>MROUND((B15*0.85),2.5)</f>
        <v>12.5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6'!$J$16=10,(('Hafta 6'!$B$16)+('Başlangıç'!$F$14)),MROUND(('Hafta 6'!$B$16*0.9),2.5))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6'!$H$18+'Hafta 6'!$I$18+'Hafta 6'!$J$18&gt;=42,'Hafta 6'!$B$18+'Başlangıç'!$F$20,'Hafta 6'!$B$18)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6'!$H$19+'Hafta 6'!$I$19+'Hafta 6'!$J$19&gt;=36,'Hafta 6'!$B$19+'Başlangıç'!$F$27,'Hafta 6'!$B$19)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6'!$K$25&gt;=5,(('Hafta 6'!$B$25)+('Başlangıç'!$F$9)),MROUND(('Hafta 6'!$B$25*0.9),2.5))</f>
        <v>12.5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7.5</v>
      </c>
      <c r="F25" s="34">
        <f>MROUND((B25*0.7),2.5)</f>
        <v>10</v>
      </c>
      <c r="G25" s="32">
        <f>MROUND((B25*0.85),2.5)</f>
        <v>10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6'!$J$26=10,(('Hafta 6'!$B$26)+('Başlangıç'!$F$16)),MROUND(('Hafta 6'!$B$26*0.9),2.5))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6'!$K$27=10,(('Hafta 6'!$B$27)+('Başlangıç'!$F$15)),MROUND(('Hafta 6'!$B$27*0.9),2.5))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6'!$H$28+'Hafta 6'!$I$28+'Hafta 6'!$J$28&gt;=42,'Hafta 6'!$B$28+'Başlangıç'!$F$22,'Hafta 6'!$B$28)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6'!$H$29+'Hafta 6'!$I$29+'Hafta 6'!$J$29&gt;=36,'Hafta 6'!$B$29+'Başlangıç'!$F$26,'Hafta 6'!$B$29)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7'!$K$5&gt;=5,(('Hafta 7'!$B$5)+('Başlangıç'!$F$7)),MROUND(('Hafta 7'!$B$5*0.9),2.5))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7'!$J$6=10,(('Hafta 7'!$B$6)+('Başlangıç'!$F$12)),MROUND(('Hafta 7'!$B$6*0.9),2.5))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7'!$J$7=8,(('Hafta 7'!$B$7)+('Başlangıç'!$F$13)),MROUND(('Hafta 7'!$B$7*0.9),2.5))</f>
        <v>12.5</v>
      </c>
      <c r="C7" s="39" t="str">
        <f>'Başlangıç'!$H$13</f>
        <v>3x8</v>
      </c>
      <c r="D7" s="39" t="str">
        <f>'Başlangıç'!$G$13</f>
        <v/>
      </c>
      <c r="E7" s="41">
        <f t="shared" si="1"/>
        <v>7.5</v>
      </c>
      <c r="F7" s="41">
        <f t="shared" si="2"/>
        <v>10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7'!$H$8+'Hafta 7'!$I$8+'Hafta 7'!$J$8&gt;=42,'Hafta 7'!$B$8+'Başlangıç'!$F$21,'Hafta 7'!$B$8)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7'!$H$9+'Hafta 7'!$I$9+'Hafta 7'!$J$9&gt;=42,'Hafta 7'!$B$9+'Başlangıç'!$F$23,'Hafta 7'!$B$9)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7'!$K$15&gt;=5,(('Hafta 7'!$B$15)+('Başlangıç'!$F$8)),MROUND(('Hafta 7'!$B$15*0.9),2.5))</f>
        <v>12.5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7.5</v>
      </c>
      <c r="F15" s="34">
        <f>MROUND((B15*0.7),2.5)</f>
        <v>10</v>
      </c>
      <c r="G15" s="32">
        <f>MROUND((B15*0.85),2.5)</f>
        <v>10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7'!$J$16=10,(('Hafta 7'!$B$16)+('Başlangıç'!$F$14)),MROUND(('Hafta 7'!$B$16*0.9),2.5))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7'!$H$18+'Hafta 7'!$I$18+'Hafta 7'!$J$18&gt;=42,'Hafta 7'!$B$18+'Başlangıç'!$F$20,'Hafta 7'!$B$18)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7'!$H$19+'Hafta 7'!$I$19+'Hafta 7'!$J$19&gt;=36,'Hafta 7'!$B$19+'Başlangıç'!$F$27,'Hafta 7'!$B$19)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7'!$K$25&gt;=5,(('Hafta 7'!$B$25)+('Başlangıç'!$F$9)),MROUND(('Hafta 7'!$B$25*0.9),2.5))</f>
        <v>12.5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7.5</v>
      </c>
      <c r="F25" s="34">
        <f>MROUND((B25*0.7),2.5)</f>
        <v>10</v>
      </c>
      <c r="G25" s="32">
        <f>MROUND((B25*0.85),2.5)</f>
        <v>10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7'!$J$26=10,(('Hafta 7'!$B$26)+('Başlangıç'!$F$16)),MROUND(('Hafta 7'!$B$26*0.9),2.5))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7'!$K$27=10,(('Hafta 7'!$B$27)+('Başlangıç'!$F$15)),MROUND(('Hafta 7'!$B$27*0.9),2.5))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7'!$H$28+'Hafta 7'!$I$28+'Hafta 7'!$J$28&gt;=42,'Hafta 7'!$B$28+'Başlangıç'!$F$22,'Hafta 7'!$B$28)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7'!$H$29+'Hafta 7'!$I$29+'Hafta 7'!$J$29&gt;=36,'Hafta 7'!$B$29+'Başlangıç'!$F$26,'Hafta 7'!$B$29)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8'!$K$5&gt;=5,(('Hafta 8'!$B$5)+('Başlangıç'!$F$7)),MROUND(('Hafta 8'!$B$5*0.9),2.5))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8'!$J$6=10,(('Hafta 8'!$B$6)+('Başlangıç'!$F$12)),MROUND(('Hafta 8'!$B$6*0.9),2.5))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8'!$J$7=8,(('Hafta 8'!$B$7)+('Başlangıç'!$F$13)),MROUND(('Hafta 8'!$B$7*0.9),2.5))</f>
        <v>12.5</v>
      </c>
      <c r="C7" s="39" t="str">
        <f>'Başlangıç'!$H$13</f>
        <v>3x8</v>
      </c>
      <c r="D7" s="39" t="str">
        <f>'Başlangıç'!$G$13</f>
        <v/>
      </c>
      <c r="E7" s="41">
        <f t="shared" si="1"/>
        <v>7.5</v>
      </c>
      <c r="F7" s="41">
        <f t="shared" si="2"/>
        <v>10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8'!$H$8+'Hafta 8'!$I$8+'Hafta 8'!$J$8&gt;=42,'Hafta 8'!$B$8+'Başlangıç'!$F$21,'Hafta 8'!$B$8)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8'!$H$9+'Hafta 8'!$I$9+'Hafta 8'!$J$9&gt;=42,'Hafta 8'!$B$9+'Başlangıç'!$F$23,'Hafta 8'!$B$9)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8'!$K$15&gt;=5,(('Hafta 8'!$B$15)+('Başlangıç'!$F$8)),MROUND(('Hafta 8'!$B$15*0.9),2.5))</f>
        <v>12.5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7.5</v>
      </c>
      <c r="F15" s="34">
        <f>MROUND((B15*0.7),2.5)</f>
        <v>10</v>
      </c>
      <c r="G15" s="32">
        <f>MROUND((B15*0.85),2.5)</f>
        <v>10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8'!$J$16=10,(('Hafta 8'!$B$16)+('Başlangıç'!$F$14)),MROUND(('Hafta 8'!$B$16*0.9),2.5))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8'!$H$18+'Hafta 8'!$I$18+'Hafta 8'!$J$18&gt;=42,'Hafta 8'!$B$18+'Başlangıç'!$F$20,'Hafta 8'!$B$18)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8'!$H$19+'Hafta 8'!$I$19+'Hafta 8'!$J$19&gt;=36,'Hafta 8'!$B$19+'Başlangıç'!$F$27,'Hafta 8'!$B$19)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8'!$K$25&gt;=5,(('Hafta 8'!$B$25)+('Başlangıç'!$F$9)),MROUND(('Hafta 8'!$B$25*0.9),2.5))</f>
        <v>12.5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7.5</v>
      </c>
      <c r="F25" s="34">
        <f>MROUND((B25*0.7),2.5)</f>
        <v>10</v>
      </c>
      <c r="G25" s="32">
        <f>MROUND((B25*0.85),2.5)</f>
        <v>10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8'!$J$26=10,(('Hafta 8'!$B$26)+('Başlangıç'!$F$16)),MROUND(('Hafta 8'!$B$26*0.9),2.5))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8'!$K$27=10,(('Hafta 8'!$B$27)+('Başlangıç'!$F$15)),MROUND(('Hafta 8'!$B$27*0.9),2.5))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8'!$H$28+'Hafta 8'!$I$28+'Hafta 8'!$J$28&gt;=42,'Hafta 8'!$B$28+'Başlangıç'!$F$22,'Hafta 8'!$B$28)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8'!$H$29+'Hafta 8'!$I$29+'Hafta 8'!$J$29&gt;=36,'Hafta 8'!$B$29+'Başlangıç'!$F$26,'Hafta 8'!$B$29)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9'!$K$5&gt;=5,(('Hafta 9'!$B$5)+('Başlangıç'!$F$7)),MROUND(('Hafta 9'!$B$5*0.9),2.5))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9'!$J$6=10,(('Hafta 9'!$B$6)+('Başlangıç'!$F$12)),MROUND(('Hafta 9'!$B$6*0.9),2.5))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9'!$J$7=8,(('Hafta 9'!$B$7)+('Başlangıç'!$F$13)),MROUND(('Hafta 9'!$B$7*0.9),2.5))</f>
        <v>12.5</v>
      </c>
      <c r="C7" s="39" t="str">
        <f>'Başlangıç'!$H$13</f>
        <v>3x8</v>
      </c>
      <c r="D7" s="39" t="str">
        <f>'Başlangıç'!$G$13</f>
        <v/>
      </c>
      <c r="E7" s="41">
        <f t="shared" si="1"/>
        <v>7.5</v>
      </c>
      <c r="F7" s="41">
        <f t="shared" si="2"/>
        <v>10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9'!$H$8+'Hafta 9'!$I$8+'Hafta 9'!$J$8&gt;=42,'Hafta 9'!$B$8+'Başlangıç'!$F$21,'Hafta 9'!$B$8)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9'!$H$9+'Hafta 9'!$I$9+'Hafta 9'!$J$9&gt;=42,'Hafta 9'!$B$9+'Başlangıç'!$F$23,'Hafta 9'!$B$9)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9'!$K$15&gt;=5,(('Hafta 9'!$B$15)+('Başlangıç'!$F$8)),MROUND(('Hafta 9'!$B$15*0.9),2.5))</f>
        <v>12.5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7.5</v>
      </c>
      <c r="F15" s="34">
        <f>MROUND((B15*0.7),2.5)</f>
        <v>10</v>
      </c>
      <c r="G15" s="32">
        <f>MROUND((B15*0.85),2.5)</f>
        <v>10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9'!$J$16=10,(('Hafta 9'!$B$16)+('Başlangıç'!$F$14)),MROUND(('Hafta 9'!$B$16*0.9),2.5))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9'!$H$18+'Hafta 9'!$I$18+'Hafta 9'!$J$18&gt;=42,'Hafta 9'!$B$18+'Başlangıç'!$F$20,'Hafta 9'!$B$18)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9'!$H$19+'Hafta 9'!$I$19+'Hafta 9'!$J$19&gt;=36,'Hafta 9'!$B$19+'Başlangıç'!$F$27,'Hafta 9'!$B$19)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9'!$K$25&gt;=5,(('Hafta 9'!$B$25)+('Başlangıç'!$F$9)),MROUND(('Hafta 9'!$B$25*0.9),2.5))</f>
        <v>12.5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7.5</v>
      </c>
      <c r="F25" s="34">
        <f>MROUND((B25*0.7),2.5)</f>
        <v>10</v>
      </c>
      <c r="G25" s="32">
        <f>MROUND((B25*0.85),2.5)</f>
        <v>10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9'!$J$26=10,(('Hafta 9'!$B$26)+('Başlangıç'!$F$16)),MROUND(('Hafta 9'!$B$26*0.9),2.5))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9'!$K$27=10,(('Hafta 9'!$B$27)+('Başlangıç'!$F$15)),MROUND(('Hafta 9'!$B$27*0.9),2.5))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9'!$H$28+'Hafta 9'!$I$28+'Hafta 9'!$J$28&gt;=42,'Hafta 9'!$B$28+'Başlangıç'!$F$22,'Hafta 9'!$B$28)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9'!$H$29+'Hafta 9'!$I$29+'Hafta 9'!$J$29&gt;=36,'Hafta 9'!$B$29+'Başlangıç'!$F$26,'Hafta 9'!$B$29)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10'!$K$5&gt;=5,(('Hafta 10'!$B$5)+('Başlangıç'!$F$7)),MROUND(('Hafta 10'!$B$5*0.9),2.5))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10'!$J$6=10,(('Hafta 10'!$B$6)+('Başlangıç'!$F$12)),MROUND(('Hafta 10'!$B$6*0.9),2.5))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10'!$J$7=8,(('Hafta 10'!$B$7)+('Başlangıç'!$F$13)),MROUND(('Hafta 10'!$B$7*0.9),2.5))</f>
        <v>12.5</v>
      </c>
      <c r="C7" s="39" t="str">
        <f>'Başlangıç'!$H$13</f>
        <v>3x8</v>
      </c>
      <c r="D7" s="39" t="str">
        <f>'Başlangıç'!$G$13</f>
        <v/>
      </c>
      <c r="E7" s="41">
        <f t="shared" si="1"/>
        <v>7.5</v>
      </c>
      <c r="F7" s="41">
        <f t="shared" si="2"/>
        <v>10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10'!$H$8+'Hafta 10'!$I$8+'Hafta 10'!$J$8&gt;=42,'Hafta 10'!$B$8+'Başlangıç'!$F$21,'Hafta 10'!$B$8)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10'!$H$9+'Hafta 10'!$I$9+'Hafta 10'!$J$9&gt;=42,'Hafta 10'!$B$9+'Başlangıç'!$F$23,'Hafta 10'!$B$9)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10'!$K$15&gt;=5,(('Hafta 10'!$B$15)+('Başlangıç'!$F$8)),MROUND(('Hafta 10'!$B$15*0.9),2.5))</f>
        <v>12.5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7.5</v>
      </c>
      <c r="F15" s="34">
        <f>MROUND((B15*0.7),2.5)</f>
        <v>10</v>
      </c>
      <c r="G15" s="32">
        <f>MROUND((B15*0.85),2.5)</f>
        <v>10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10'!$J$16=10,(('Hafta 10'!$B$16)+('Başlangıç'!$F$14)),MROUND(('Hafta 10'!$B$16*0.9),2.5))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10'!$H$18+'Hafta 10'!$I$18+'Hafta 10'!$J$18&gt;=42,'Hafta 10'!$B$18+'Başlangıç'!$F$20,'Hafta 10'!$B$18)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10'!$H$19+'Hafta 10'!$I$19+'Hafta 10'!$J$19&gt;=36,'Hafta 10'!$B$19+'Başlangıç'!$F$27,'Hafta 10'!$B$19)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10'!$K$25&gt;=5,(('Hafta 10'!$B$25)+('Başlangıç'!$F$9)),MROUND(('Hafta 10'!$B$25*0.9),2.5))</f>
        <v>12.5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7.5</v>
      </c>
      <c r="F25" s="34">
        <f>MROUND((B25*0.7),2.5)</f>
        <v>10</v>
      </c>
      <c r="G25" s="32">
        <f>MROUND((B25*0.85),2.5)</f>
        <v>10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10'!$J$26=10,(('Hafta 10'!$B$26)+('Başlangıç'!$F$16)),MROUND(('Hafta 10'!$B$26*0.9),2.5))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10'!$K$27=10,(('Hafta 10'!$B$27)+('Başlangıç'!$F$15)),MROUND(('Hafta 10'!$B$27*0.9),2.5))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10'!$H$28+'Hafta 10'!$I$28+'Hafta 10'!$J$28&gt;=42,'Hafta 10'!$B$28+'Başlangıç'!$F$22,'Hafta 10'!$B$28)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10'!$H$29+'Hafta 10'!$I$29+'Hafta 10'!$J$29&gt;=36,'Hafta 10'!$B$29+'Başlangıç'!$F$26,'Hafta 10'!$B$29)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4" width="3.88"/>
    <col customWidth="1" min="5" max="7" width="6.75"/>
    <col customWidth="1" min="8" max="11" width="7.38"/>
    <col customWidth="1" min="12" max="12" width="20.38"/>
  </cols>
  <sheetData>
    <row r="1">
      <c r="A1" s="24" t="s">
        <v>4</v>
      </c>
      <c r="B1" s="27">
        <f>'Başlangıç'!$B$3</f>
        <v>78.8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3"/>
      <c r="D2" s="3"/>
      <c r="E2" s="3"/>
      <c r="F2" s="3"/>
      <c r="G2" s="3"/>
      <c r="H2" s="3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45</v>
      </c>
      <c r="B3" s="29"/>
      <c r="C3" s="30" t="s">
        <v>46</v>
      </c>
      <c r="G3" s="30" t="str">
        <f>A5</f>
        <v>Bench Press</v>
      </c>
      <c r="I3" s="29">
        <f>MROUND((IF(J5="","",SUM((B5*(MAX(H5,I5,J5,K5))*0.0333)+B5))), 0.5)</f>
        <v>0</v>
      </c>
      <c r="J3" s="29"/>
      <c r="K3" s="29"/>
      <c r="L3" s="31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</v>
      </c>
      <c r="B4" s="3" t="s">
        <v>48</v>
      </c>
      <c r="C4" s="3" t="s">
        <v>49</v>
      </c>
      <c r="D4" s="18" t="s">
        <v>14</v>
      </c>
      <c r="E4" s="18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'Başlangıç'!$A$7</f>
        <v>Bench Press</v>
      </c>
      <c r="B5" s="33">
        <f>IF('Hafta 11'!$K$5&gt;=5,(('Hafta 11'!$B$5)+('Başlangıç'!$F$7)),MROUND(('Hafta 11'!$B$5*0.9),2.5))</f>
        <v>12.5</v>
      </c>
      <c r="C5" s="32" t="str">
        <f>'Başlangıç'!$H$7</f>
        <v>4x5+</v>
      </c>
      <c r="D5" s="32" t="str">
        <f>'Başlangıç'!$G$7</f>
        <v/>
      </c>
      <c r="E5" s="32">
        <f t="shared" ref="E5:E7" si="1">MROUND((B5*0.6),2.5)</f>
        <v>7.5</v>
      </c>
      <c r="F5" s="34">
        <f>MROUND((B5*0.7),2.5)</f>
        <v>10</v>
      </c>
      <c r="G5" s="32">
        <f>MROUND((B5*0.85),2.5)</f>
        <v>10</v>
      </c>
      <c r="H5" s="35"/>
      <c r="I5" s="35"/>
      <c r="J5" s="36"/>
      <c r="K5" s="37"/>
      <c r="L5" s="32"/>
      <c r="M5" s="38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tr">
        <f>'Başlangıç'!$A$12</f>
        <v>DB Shoulder Press</v>
      </c>
      <c r="B6" s="21">
        <f>IF('Hafta 11'!$J$6=10,(('Hafta 11'!$B$6)+('Başlangıç'!$F$12)),MROUND(('Hafta 11'!$B$6*0.9),2.5))</f>
        <v>7.5</v>
      </c>
      <c r="C6" s="39" t="str">
        <f>'Başlangıç'!$H$12</f>
        <v>3x10</v>
      </c>
      <c r="D6" s="39" t="str">
        <f>'Başlangıç'!$G$12</f>
        <v/>
      </c>
      <c r="E6" s="39">
        <f t="shared" si="1"/>
        <v>5</v>
      </c>
      <c r="F6" s="39">
        <f t="shared" ref="F6:F7" si="2">MROUND((B6*0.85),2.5)</f>
        <v>7.5</v>
      </c>
      <c r="G6" s="40" t="s">
        <v>58</v>
      </c>
      <c r="H6" s="57"/>
      <c r="I6" s="57"/>
      <c r="J6" s="27"/>
      <c r="K6" s="2"/>
      <c r="L6" s="3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tr">
        <f>'Başlangıç'!$A$13</f>
        <v>Dumbbell Romanian Deadlift</v>
      </c>
      <c r="B7" s="21">
        <f>IF('Hafta 11'!$J$7=8,(('Hafta 11'!$B$7)+('Başlangıç'!$F$13)),MROUND(('Hafta 11'!$B$7*0.9),2.5))</f>
        <v>12.5</v>
      </c>
      <c r="C7" s="39" t="str">
        <f>'Başlangıç'!$H$13</f>
        <v>3x8</v>
      </c>
      <c r="D7" s="39" t="str">
        <f>'Başlangıç'!$G$13</f>
        <v/>
      </c>
      <c r="E7" s="41">
        <f t="shared" si="1"/>
        <v>7.5</v>
      </c>
      <c r="F7" s="41">
        <f t="shared" si="2"/>
        <v>10</v>
      </c>
      <c r="G7" s="40" t="s">
        <v>58</v>
      </c>
      <c r="H7" s="57"/>
      <c r="I7" s="57"/>
      <c r="J7" s="57"/>
      <c r="K7" s="2"/>
      <c r="L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tr">
        <f>'Başlangıç'!$A$21</f>
        <v>Lat Pulldown</v>
      </c>
      <c r="B8" s="25">
        <f>IF('Hafta 11'!$H$8+'Hafta 11'!$I$8+'Hafta 11'!$J$8&gt;=42,'Hafta 11'!$B$8+'Başlangıç'!$F$21,'Hafta 11'!$B$8)</f>
        <v>32.5</v>
      </c>
      <c r="C8" s="42" t="str">
        <f>'Başlangıç'!$H$21</f>
        <v>3x10-14</v>
      </c>
      <c r="D8" s="42">
        <f>'Başlangıç'!$G$21</f>
        <v>8</v>
      </c>
      <c r="E8" s="43" t="s">
        <v>58</v>
      </c>
      <c r="F8" s="43" t="s">
        <v>58</v>
      </c>
      <c r="G8" s="43" t="s">
        <v>58</v>
      </c>
      <c r="H8" s="58"/>
      <c r="I8" s="58"/>
      <c r="J8" s="61"/>
      <c r="K8" s="2"/>
      <c r="L8" s="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tr">
        <f>'Başlangıç'!$A$23</f>
        <v>Dumbbell Lunges</v>
      </c>
      <c r="B9" s="25">
        <f>IF('Hafta 11'!$H$9+'Hafta 11'!$I$9+'Hafta 11'!$J$9&gt;=42,'Hafta 11'!$B$9+'Başlangıç'!$F$23,'Hafta 11'!$B$9)</f>
        <v>10</v>
      </c>
      <c r="C9" s="42" t="str">
        <f>'Başlangıç'!$H$23</f>
        <v>3x10-14</v>
      </c>
      <c r="D9" s="42">
        <f>'Başlangıç'!$G$23</f>
        <v>9</v>
      </c>
      <c r="E9" s="43" t="s">
        <v>58</v>
      </c>
      <c r="F9" s="43" t="s">
        <v>58</v>
      </c>
      <c r="G9" s="43" t="s">
        <v>58</v>
      </c>
      <c r="H9" s="58"/>
      <c r="I9" s="62"/>
      <c r="J9" s="62"/>
      <c r="K9" s="2"/>
      <c r="L9" s="4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tr">
        <f>'Başlangıç'!$A$28</f>
        <v>Crunch</v>
      </c>
      <c r="B10" s="48" t="str">
        <f>'Başlangıç'!$E$28</f>
        <v>vücut a.</v>
      </c>
      <c r="C10" s="47" t="str">
        <f>'Başlangıç'!$H$28</f>
        <v>3xmax</v>
      </c>
      <c r="D10" s="47">
        <f>'Başlangıç'!$G$28</f>
        <v>9</v>
      </c>
      <c r="E10" s="48" t="s">
        <v>58</v>
      </c>
      <c r="F10" s="48" t="s">
        <v>58</v>
      </c>
      <c r="G10" s="48" t="s">
        <v>58</v>
      </c>
      <c r="H10" s="59"/>
      <c r="I10" s="60"/>
      <c r="J10" s="60"/>
      <c r="K10" s="2"/>
      <c r="L10" s="47"/>
      <c r="M10" s="3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51" t="s">
        <v>64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60</v>
      </c>
      <c r="B13" s="29"/>
      <c r="C13" s="30" t="s">
        <v>46</v>
      </c>
      <c r="G13" s="30" t="str">
        <f>A15</f>
        <v>Squat</v>
      </c>
      <c r="I13" s="29">
        <f>MROUND((IF(J15="","",SUM((B15*(MAX(H15,I15,J15,K15))*0.0333)+B15))), 0.5)</f>
        <v>0</v>
      </c>
      <c r="J13" s="29"/>
      <c r="K13" s="52"/>
      <c r="L13" s="5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49</v>
      </c>
      <c r="D14" s="18" t="s">
        <v>14</v>
      </c>
      <c r="E14" s="18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'Başlangıç'!$A$8</f>
        <v>Squat</v>
      </c>
      <c r="B15" s="33">
        <f>IF('Hafta 11'!$K$15&gt;=5,(('Hafta 11'!$B$15)+('Başlangıç'!$F$8)),MROUND(('Hafta 11'!$B$15*0.9),2.5))</f>
        <v>12.5</v>
      </c>
      <c r="C15" s="32" t="str">
        <f>'Başlangıç'!$H$8</f>
        <v>4x5+</v>
      </c>
      <c r="D15" s="32" t="str">
        <f>'Başlangıç'!$G$8</f>
        <v/>
      </c>
      <c r="E15" s="32">
        <f t="shared" ref="E15:E16" si="3">MROUND((B15*0.6),2.5)</f>
        <v>7.5</v>
      </c>
      <c r="F15" s="34">
        <f>MROUND((B15*0.7),2.5)</f>
        <v>10</v>
      </c>
      <c r="G15" s="32">
        <f>MROUND((B15*0.85),2.5)</f>
        <v>10</v>
      </c>
      <c r="H15" s="35"/>
      <c r="I15" s="35"/>
      <c r="J15" s="35"/>
      <c r="K15" s="37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tr">
        <f>'Başlangıç'!$A$14</f>
        <v>Bench Press</v>
      </c>
      <c r="B16" s="21">
        <f>IF('Hafta 11'!$J$16=10,(('Hafta 11'!$B$16)+('Başlangıç'!$F$14)),MROUND(('Hafta 11'!$B$16*0.9),2.5))</f>
        <v>10</v>
      </c>
      <c r="C16" s="39" t="str">
        <f>'Başlangıç'!$H$14</f>
        <v>3x10</v>
      </c>
      <c r="D16" s="39" t="str">
        <f>'Başlangıç'!$G$14</f>
        <v/>
      </c>
      <c r="E16" s="39">
        <f t="shared" si="3"/>
        <v>5</v>
      </c>
      <c r="F16" s="39">
        <f>MROUND((B16*0.85),2.5)</f>
        <v>7.5</v>
      </c>
      <c r="G16" s="40" t="s">
        <v>58</v>
      </c>
      <c r="H16" s="57"/>
      <c r="I16" s="57"/>
      <c r="J16" s="27"/>
      <c r="K16" s="2"/>
      <c r="L16" s="3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 t="str">
        <f>'Başlangıç'!$A$17</f>
        <v>Negative Pull Ups</v>
      </c>
      <c r="B17" s="40" t="str">
        <f>'Başlangıç'!$E$17</f>
        <v>vücut a.</v>
      </c>
      <c r="C17" s="39" t="str">
        <f>'Başlangıç'!$H$17</f>
        <v>3xmax</v>
      </c>
      <c r="D17" s="39">
        <f>'Başlangıç'!$G$17</f>
        <v>9</v>
      </c>
      <c r="E17" s="40" t="s">
        <v>58</v>
      </c>
      <c r="F17" s="40" t="s">
        <v>58</v>
      </c>
      <c r="G17" s="40" t="s">
        <v>58</v>
      </c>
      <c r="H17" s="57"/>
      <c r="I17" s="57"/>
      <c r="J17" s="27"/>
      <c r="K17" s="2"/>
      <c r="L17" s="3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tr">
        <f>'Başlangıç'!$A$20</f>
        <v>Lateral Raises</v>
      </c>
      <c r="B18" s="25">
        <f>IF('Hafta 11'!$H$18+'Hafta 11'!$I$18+'Hafta 11'!$J$18&gt;=42,'Hafta 11'!$B$18+'Başlangıç'!$F$20,'Hafta 11'!$B$18)</f>
        <v>5</v>
      </c>
      <c r="C18" s="42" t="str">
        <f>'Başlangıç'!$H$20</f>
        <v>3x10-14</v>
      </c>
      <c r="D18" s="42">
        <f>'Başlangıç'!$G$20</f>
        <v>9</v>
      </c>
      <c r="E18" s="43" t="s">
        <v>58</v>
      </c>
      <c r="F18" s="43" t="s">
        <v>58</v>
      </c>
      <c r="G18" s="43" t="s">
        <v>58</v>
      </c>
      <c r="H18" s="58"/>
      <c r="I18" s="61"/>
      <c r="J18" s="61"/>
      <c r="K18" s="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tr">
        <f>'Başlangıç'!$A$27</f>
        <v>Incline Dumbbell Curl</v>
      </c>
      <c r="B19" s="26">
        <f>IF('Hafta 11'!$H$19+'Hafta 11'!$I$19+'Hafta 11'!$J$19&gt;=36,'Hafta 11'!$B$19+'Başlangıç'!$F$27,'Hafta 11'!$B$19)</f>
        <v>5</v>
      </c>
      <c r="C19" s="47" t="str">
        <f>'Başlangıç'!$H$27</f>
        <v>3x8-12</v>
      </c>
      <c r="D19" s="47">
        <f>'Başlangıç'!$G$27</f>
        <v>9</v>
      </c>
      <c r="E19" s="48" t="s">
        <v>58</v>
      </c>
      <c r="F19" s="48" t="s">
        <v>58</v>
      </c>
      <c r="G19" s="48" t="s">
        <v>58</v>
      </c>
      <c r="H19" s="63"/>
      <c r="I19" s="60"/>
      <c r="J19" s="60"/>
      <c r="K19" s="2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tr">
        <f>'Başlangıç'!$A$29</f>
        <v>Leg Raises</v>
      </c>
      <c r="B20" s="48" t="str">
        <f>'Başlangıç'!$E$29</f>
        <v>vücut a.</v>
      </c>
      <c r="C20" s="47" t="str">
        <f>'Başlangıç'!$H$29</f>
        <v>3xmax</v>
      </c>
      <c r="D20" s="47">
        <f>'Başlangıç'!$G$29</f>
        <v>9</v>
      </c>
      <c r="E20" s="48" t="s">
        <v>58</v>
      </c>
      <c r="F20" s="48" t="s">
        <v>58</v>
      </c>
      <c r="G20" s="48" t="s">
        <v>58</v>
      </c>
      <c r="H20" s="59"/>
      <c r="I20" s="60"/>
      <c r="J20" s="60"/>
      <c r="K20" s="2"/>
      <c r="L20" s="4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51"/>
      <c r="I21" s="51"/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 t="s">
        <v>62</v>
      </c>
      <c r="B23" s="29"/>
      <c r="C23" s="30" t="s">
        <v>46</v>
      </c>
      <c r="G23" s="30" t="str">
        <f>A25</f>
        <v>Over Head Press</v>
      </c>
      <c r="I23" s="29">
        <f>MROUND((IF(J25="","",SUM((B25*(MAX(H25,I25,J25,K25))*0.0333)+B25))), 0.5)</f>
        <v>0</v>
      </c>
      <c r="J23" s="29"/>
      <c r="K23" s="29"/>
      <c r="L23" s="3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3" t="s">
        <v>48</v>
      </c>
      <c r="C24" s="3" t="s">
        <v>49</v>
      </c>
      <c r="D24" s="18" t="s">
        <v>14</v>
      </c>
      <c r="E24" s="18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'Başlangıç'!$A$9</f>
        <v>Over Head Press</v>
      </c>
      <c r="B25" s="33">
        <f>IF('Hafta 11'!$K$25&gt;=5,(('Hafta 11'!$B$25)+('Başlangıç'!$F$9)),MROUND(('Hafta 11'!$B$25*0.9),2.5))</f>
        <v>12.5</v>
      </c>
      <c r="C25" s="32" t="str">
        <f>'Başlangıç'!$H$9</f>
        <v>4x5+</v>
      </c>
      <c r="D25" s="32" t="str">
        <f>'Başlangıç'!$G$9</f>
        <v/>
      </c>
      <c r="E25" s="32">
        <f t="shared" ref="E25:E27" si="4">MROUND((B25*0.6),2.5)</f>
        <v>7.5</v>
      </c>
      <c r="F25" s="34">
        <f>MROUND((B25*0.7),2.5)</f>
        <v>10</v>
      </c>
      <c r="G25" s="32">
        <f>MROUND((B25*0.85),2.5)</f>
        <v>10</v>
      </c>
      <c r="H25" s="35"/>
      <c r="I25" s="35"/>
      <c r="J25" s="36"/>
      <c r="K25" s="37"/>
      <c r="L25" s="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9" t="str">
        <f>'Başlangıç'!$A$16</f>
        <v>Squat</v>
      </c>
      <c r="B26" s="21">
        <f>IF('Hafta 11'!$J$26=10,(('Hafta 11'!$B$26)+('Başlangıç'!$F$16)),MROUND(('Hafta 11'!$B$26*0.9),2.5))</f>
        <v>12.5</v>
      </c>
      <c r="C26" s="39" t="str">
        <f>'Başlangıç'!$H$16</f>
        <v>3x10</v>
      </c>
      <c r="D26" s="39" t="str">
        <f>'Başlangıç'!$G$16</f>
        <v/>
      </c>
      <c r="E26" s="39">
        <f t="shared" si="4"/>
        <v>7.5</v>
      </c>
      <c r="F26" s="39">
        <f t="shared" ref="F26:F27" si="5">MROUND((B26*0.85),2.5)</f>
        <v>10</v>
      </c>
      <c r="G26" s="40" t="s">
        <v>58</v>
      </c>
      <c r="H26" s="57"/>
      <c r="I26" s="57"/>
      <c r="J26" s="27"/>
      <c r="K26" s="2"/>
      <c r="L26" s="3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9" t="str">
        <f>'Başlangıç'!$A$15</f>
        <v>Barbell Row</v>
      </c>
      <c r="B27" s="21">
        <f>IF('Hafta 11'!$K$27=10,(('Hafta 11'!$B$27)+('Başlangıç'!$F$15)),MROUND(('Hafta 11'!$B$27*0.9),2.5))</f>
        <v>12.5</v>
      </c>
      <c r="C27" s="39" t="str">
        <f>'Başlangıç'!$H$15</f>
        <v>4x10</v>
      </c>
      <c r="D27" s="39" t="str">
        <f>'Başlangıç'!$G$15</f>
        <v/>
      </c>
      <c r="E27" s="39">
        <f t="shared" si="4"/>
        <v>7.5</v>
      </c>
      <c r="F27" s="39">
        <f t="shared" si="5"/>
        <v>10</v>
      </c>
      <c r="G27" s="40" t="s">
        <v>58</v>
      </c>
      <c r="H27" s="57"/>
      <c r="I27" s="57"/>
      <c r="J27" s="27"/>
      <c r="K27" s="27"/>
      <c r="L27" s="3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 t="str">
        <f>'Başlangıç'!$A$22</f>
        <v>Chest Fly Machine</v>
      </c>
      <c r="B28" s="25">
        <f>IF('Hafta 11'!$H$28+'Hafta 11'!$I$28+'Hafta 11'!$J$28&gt;=42,'Hafta 11'!$B$28+'Başlangıç'!$F$22,'Hafta 11'!$B$28)</f>
        <v>27.5</v>
      </c>
      <c r="C28" s="42" t="str">
        <f>'Başlangıç'!$H$22</f>
        <v>3x10-14</v>
      </c>
      <c r="D28" s="42">
        <f>'Başlangıç'!$G$22</f>
        <v>8</v>
      </c>
      <c r="E28" s="43" t="s">
        <v>58</v>
      </c>
      <c r="F28" s="43" t="s">
        <v>58</v>
      </c>
      <c r="G28" s="43" t="s">
        <v>58</v>
      </c>
      <c r="H28" s="58"/>
      <c r="I28" s="58"/>
      <c r="J28" s="58"/>
      <c r="K28" s="2"/>
      <c r="L28" s="4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 t="str">
        <f>'Başlangıç'!$A$26</f>
        <v>Overhead Triceps Extension</v>
      </c>
      <c r="B29" s="26">
        <f>IF('Hafta 11'!$H$29+'Hafta 11'!$I$29+'Hafta 11'!$J$29&gt;=36,'Hafta 11'!$B$29+'Başlangıç'!$F$26,'Hafta 11'!$B$29)</f>
        <v>15</v>
      </c>
      <c r="C29" s="47" t="str">
        <f>'Başlangıç'!$H$26</f>
        <v>3x8-12</v>
      </c>
      <c r="D29" s="47">
        <f>'Başlangıç'!$G$26</f>
        <v>9</v>
      </c>
      <c r="E29" s="48" t="s">
        <v>58</v>
      </c>
      <c r="F29" s="48" t="s">
        <v>58</v>
      </c>
      <c r="G29" s="48" t="s">
        <v>58</v>
      </c>
      <c r="H29" s="59"/>
      <c r="I29" s="60"/>
      <c r="J29" s="60"/>
      <c r="K29" s="2"/>
      <c r="L29" s="4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 t="str">
        <f>'Başlangıç'!$A$30</f>
        <v>Deadbug</v>
      </c>
      <c r="B30" s="48" t="str">
        <f>'Başlangıç'!$E$30</f>
        <v>vücut a.</v>
      </c>
      <c r="C30" s="47" t="str">
        <f>'Başlangıç'!$H$30</f>
        <v>3xmax</v>
      </c>
      <c r="D30" s="47">
        <f>'Başlangıç'!$G$30</f>
        <v>9</v>
      </c>
      <c r="E30" s="48" t="s">
        <v>58</v>
      </c>
      <c r="F30" s="48" t="s">
        <v>58</v>
      </c>
      <c r="G30" s="48" t="s">
        <v>58</v>
      </c>
      <c r="H30" s="59"/>
      <c r="I30" s="60"/>
      <c r="J30" s="60"/>
      <c r="K30" s="2"/>
      <c r="L30" s="4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1"/>
      <c r="I31" s="51"/>
      <c r="J31" s="51"/>
      <c r="K31" s="5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1">
    <mergeCell ref="C13:F13"/>
    <mergeCell ref="C23:F23"/>
    <mergeCell ref="G23:H23"/>
    <mergeCell ref="E24:G24"/>
    <mergeCell ref="C3:F3"/>
    <mergeCell ref="G3:H3"/>
    <mergeCell ref="E4:G4"/>
    <mergeCell ref="M5:M9"/>
    <mergeCell ref="H11:L11"/>
    <mergeCell ref="G13:H13"/>
    <mergeCell ref="E14:G1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88"/>
    <col customWidth="1" min="3" max="3" width="10.13"/>
    <col customWidth="1" min="4" max="6" width="7.38"/>
    <col customWidth="1" min="7" max="7" width="22.5"/>
  </cols>
  <sheetData>
    <row r="1">
      <c r="A1" s="24" t="s">
        <v>4</v>
      </c>
      <c r="B1" s="57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7.25" customHeight="1">
      <c r="A2" s="3"/>
      <c r="B2" s="2"/>
      <c r="C2" s="3"/>
      <c r="D2" s="3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02.75" customHeight="1">
      <c r="A3" s="38" t="s">
        <v>65</v>
      </c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7.25" customHeight="1">
      <c r="A4" s="3"/>
      <c r="B4" s="2"/>
      <c r="C4" s="3"/>
      <c r="D4" s="3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52" t="s">
        <v>66</v>
      </c>
      <c r="B5" s="29"/>
      <c r="C5" s="30"/>
      <c r="D5" s="30"/>
      <c r="E5" s="29"/>
      <c r="F5" s="29"/>
      <c r="G5" s="31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 t="s">
        <v>47</v>
      </c>
      <c r="B6" s="3" t="s">
        <v>48</v>
      </c>
      <c r="C6" s="3" t="s">
        <v>49</v>
      </c>
      <c r="D6" s="3" t="s">
        <v>51</v>
      </c>
      <c r="E6" s="3" t="s">
        <v>52</v>
      </c>
      <c r="F6" s="3" t="s">
        <v>53</v>
      </c>
      <c r="G6" s="3" t="s">
        <v>55</v>
      </c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2" t="str">
        <f>'Başlangıç'!$A$8</f>
        <v>Squat</v>
      </c>
      <c r="B7" s="33">
        <f>MROUND(('Hafta 12'!$B$15*0.7),2.5)</f>
        <v>10</v>
      </c>
      <c r="C7" s="33" t="s">
        <v>67</v>
      </c>
      <c r="D7" s="35"/>
      <c r="E7" s="35"/>
      <c r="F7" s="35"/>
      <c r="G7" s="3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2" t="str">
        <f>'Başlangıç'!$A$7</f>
        <v>Bench Press</v>
      </c>
      <c r="B8" s="33">
        <f>MROUND(('Hafta 12'!$B$5*0.7),2.5)</f>
        <v>10</v>
      </c>
      <c r="C8" s="33" t="s">
        <v>67</v>
      </c>
      <c r="D8" s="64"/>
      <c r="E8" s="64"/>
      <c r="F8" s="64"/>
      <c r="G8" s="3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2" t="str">
        <f>'Başlangıç'!$A$17</f>
        <v>Negative Pull Ups</v>
      </c>
      <c r="B9" s="65" t="str">
        <f>'Başlangıç'!$E$17</f>
        <v>vücut a.</v>
      </c>
      <c r="C9" s="33" t="s">
        <v>67</v>
      </c>
      <c r="D9" s="64"/>
      <c r="E9" s="64"/>
      <c r="F9" s="64"/>
      <c r="G9" s="3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52" t="s">
        <v>68</v>
      </c>
      <c r="B12" s="29"/>
      <c r="C12" s="30"/>
      <c r="D12" s="30"/>
      <c r="E12" s="29"/>
      <c r="F12" s="29"/>
      <c r="G12" s="3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 t="s">
        <v>47</v>
      </c>
      <c r="B13" s="3" t="s">
        <v>48</v>
      </c>
      <c r="C13" s="3" t="s">
        <v>49</v>
      </c>
      <c r="D13" s="3" t="s">
        <v>51</v>
      </c>
      <c r="E13" s="3" t="s">
        <v>52</v>
      </c>
      <c r="F13" s="3" t="s">
        <v>53</v>
      </c>
      <c r="G13" s="3" t="s">
        <v>55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2" t="str">
        <f>'Başlangıç'!$A$9</f>
        <v>Over Head Press</v>
      </c>
      <c r="B14" s="33">
        <f>MROUND(('Hafta 12'!$B$25*0.7),2.5)</f>
        <v>10</v>
      </c>
      <c r="C14" s="33" t="s">
        <v>67</v>
      </c>
      <c r="D14" s="35"/>
      <c r="E14" s="35"/>
      <c r="F14" s="35"/>
      <c r="G14" s="3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2" t="str">
        <f>'Başlangıç'!$A$13</f>
        <v>Dumbbell Romanian Deadlift</v>
      </c>
      <c r="B15" s="33">
        <f>MROUND(('Hafta 12'!$B$7*0.7),2.5)</f>
        <v>10</v>
      </c>
      <c r="C15" s="33" t="s">
        <v>67</v>
      </c>
      <c r="D15" s="64"/>
      <c r="E15" s="64"/>
      <c r="F15" s="64"/>
      <c r="G15" s="32"/>
      <c r="H15" s="2"/>
      <c r="I15" s="2"/>
      <c r="J15" s="3"/>
      <c r="K15" s="3"/>
      <c r="L15" s="3"/>
      <c r="M15" s="2"/>
      <c r="N15" s="2"/>
      <c r="O15" s="2"/>
      <c r="P15" s="2"/>
      <c r="Q15" s="2"/>
      <c r="R15" s="2"/>
      <c r="S15" s="2"/>
      <c r="T15" s="2"/>
      <c r="U15" s="2"/>
    </row>
    <row r="16">
      <c r="A16" s="32" t="str">
        <f>'Başlangıç'!$A$15</f>
        <v>Barbell Row</v>
      </c>
      <c r="B16" s="33">
        <f>MROUND(('Hafta 12'!$B$27*0.7),2.5)</f>
        <v>10</v>
      </c>
      <c r="C16" s="33" t="s">
        <v>67</v>
      </c>
      <c r="D16" s="64"/>
      <c r="E16" s="64"/>
      <c r="F16" s="64"/>
      <c r="G16" s="3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</sheetData>
  <mergeCells count="1">
    <mergeCell ref="A3:G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" width="14.75"/>
  </cols>
  <sheetData>
    <row r="22">
      <c r="A22" s="66"/>
      <c r="B22" s="67"/>
      <c r="C22" s="67"/>
      <c r="D22" s="67"/>
      <c r="E22" s="67"/>
      <c r="F22" s="67"/>
      <c r="G22" s="67"/>
    </row>
    <row r="23" ht="152.25" customHeight="1">
      <c r="A23" s="66"/>
      <c r="B23" s="67"/>
      <c r="C23" s="67"/>
      <c r="D23" s="67"/>
      <c r="E23" s="67"/>
      <c r="F23" s="67"/>
      <c r="G23" s="67"/>
    </row>
    <row r="24">
      <c r="A24" s="66"/>
      <c r="B24" s="67"/>
      <c r="C24" s="67"/>
      <c r="D24" s="67"/>
      <c r="E24" s="67"/>
      <c r="F24" s="67"/>
      <c r="G24" s="67"/>
    </row>
    <row r="25">
      <c r="A25" s="66"/>
      <c r="B25" s="67"/>
      <c r="C25" s="67"/>
      <c r="D25" s="67"/>
      <c r="E25" s="67"/>
      <c r="F25" s="67"/>
      <c r="G25" s="67"/>
    </row>
    <row r="26">
      <c r="A26" s="68"/>
      <c r="B26" s="68" t="str">
        <f>'Başlangıç'!$A$7</f>
        <v>Bench Press</v>
      </c>
      <c r="C26" s="68" t="str">
        <f>'Başlangıç'!$A$8</f>
        <v>Squat</v>
      </c>
      <c r="D26" s="68" t="str">
        <f>'Başlangıç'!$A$9</f>
        <v>Over Head Press</v>
      </c>
      <c r="E26" s="68" t="str">
        <f>'Başlangıç'!$A$13</f>
        <v>Dumbbell Romanian Deadlift</v>
      </c>
      <c r="F26" s="68" t="str">
        <f>'Başlangıç'!$A$15</f>
        <v>Barbell Row</v>
      </c>
      <c r="G26" s="69" t="s">
        <v>69</v>
      </c>
    </row>
    <row r="27">
      <c r="A27" s="70" t="s">
        <v>70</v>
      </c>
      <c r="B27" s="68">
        <f>'Hafta 1'!$I$3</f>
        <v>11.5</v>
      </c>
      <c r="C27" s="68">
        <f>'Hafta 1'!$I$13</f>
        <v>18.5</v>
      </c>
      <c r="D27" s="68">
        <f>'Hafta 1'!$I$23</f>
        <v>21</v>
      </c>
      <c r="E27" s="68">
        <f>'Hafta 1'!$B$7</f>
        <v>10</v>
      </c>
      <c r="F27" s="68">
        <f>'Hafta 1'!$B$27</f>
        <v>17.5</v>
      </c>
      <c r="G27" s="68">
        <f>'Hafta 1'!$B$1</f>
        <v>78.8</v>
      </c>
    </row>
    <row r="28">
      <c r="A28" s="70" t="s">
        <v>71</v>
      </c>
      <c r="B28" s="71">
        <f>'Hafta 2'!$I$3</f>
        <v>16</v>
      </c>
      <c r="C28" s="71">
        <f>'Hafta 2'!$I$13</f>
        <v>24.5</v>
      </c>
      <c r="D28" s="71">
        <f>'Hafta 2'!$I$23</f>
        <v>0</v>
      </c>
      <c r="E28" s="71">
        <f>'Hafta 2'!$B$7</f>
        <v>15</v>
      </c>
      <c r="F28" s="71">
        <f>'Hafta 2'!$B$27</f>
        <v>15</v>
      </c>
      <c r="G28" s="71">
        <f>'Hafta 2'!$B$1</f>
        <v>79.8</v>
      </c>
    </row>
    <row r="29">
      <c r="A29" s="70" t="s">
        <v>72</v>
      </c>
      <c r="B29" s="68">
        <f>'Hafta 3'!$I$3</f>
        <v>0</v>
      </c>
      <c r="C29" s="68">
        <f>'Hafta 3'!$I$13</f>
        <v>0</v>
      </c>
      <c r="D29" s="68">
        <f>'Hafta 3'!$I$23</f>
        <v>0</v>
      </c>
      <c r="E29" s="68">
        <f>'Hafta 3'!$B$7</f>
        <v>20</v>
      </c>
      <c r="F29" s="68">
        <f>'Hafta 3'!$B$27</f>
        <v>12.5</v>
      </c>
      <c r="G29" s="68">
        <f>'Hafta 3'!$B$1</f>
        <v>78.8</v>
      </c>
    </row>
    <row r="30">
      <c r="A30" s="70" t="s">
        <v>73</v>
      </c>
      <c r="B30" s="68">
        <f>'Hafta 4'!$I$3</f>
        <v>0</v>
      </c>
      <c r="C30" s="68">
        <f>'Hafta 4'!$I$13</f>
        <v>0</v>
      </c>
      <c r="D30" s="68">
        <f>'Hafta 4'!$I$23</f>
        <v>0</v>
      </c>
      <c r="E30" s="68">
        <f>'Hafta 4'!$B$7</f>
        <v>17.5</v>
      </c>
      <c r="F30" s="68">
        <f>'Hafta 4'!$B$27</f>
        <v>12.5</v>
      </c>
      <c r="G30" s="68">
        <f>'Hafta 4'!$B$1</f>
        <v>78.8</v>
      </c>
    </row>
    <row r="31">
      <c r="A31" s="70" t="s">
        <v>74</v>
      </c>
      <c r="B31" s="68">
        <f>'Hafta 5'!$I$3</f>
        <v>0</v>
      </c>
      <c r="C31" s="68">
        <f>'Hafta 5'!$I$13</f>
        <v>0</v>
      </c>
      <c r="D31" s="68">
        <f>'Hafta 5'!$I$23</f>
        <v>0</v>
      </c>
      <c r="E31" s="68">
        <f>'Hafta 5'!$B$7</f>
        <v>15</v>
      </c>
      <c r="F31" s="68">
        <f>'Hafta 5'!$B$27</f>
        <v>12.5</v>
      </c>
      <c r="G31" s="68">
        <f>'Hafta 5'!$B$1</f>
        <v>78.8</v>
      </c>
    </row>
    <row r="32">
      <c r="A32" s="70" t="s">
        <v>75</v>
      </c>
      <c r="B32" s="68">
        <f>'Hafta 6'!$I$3</f>
        <v>0</v>
      </c>
      <c r="C32" s="68">
        <f>'Hafta 6'!$I$13</f>
        <v>0</v>
      </c>
      <c r="D32" s="68">
        <f>'Hafta 6'!$I$23</f>
        <v>0</v>
      </c>
      <c r="E32" s="68">
        <f>'Hafta 6'!$B$7</f>
        <v>12.5</v>
      </c>
      <c r="F32" s="68">
        <f>'Hafta 6'!$B$27</f>
        <v>12.5</v>
      </c>
      <c r="G32" s="68">
        <f>'Hafta 6'!$B$1</f>
        <v>78.8</v>
      </c>
    </row>
    <row r="33">
      <c r="A33" s="70" t="s">
        <v>76</v>
      </c>
      <c r="B33" s="68">
        <f>'Hafta 7'!$I$3</f>
        <v>0</v>
      </c>
      <c r="C33" s="68">
        <f>'Hafta 7'!$I$13</f>
        <v>0</v>
      </c>
      <c r="D33" s="68">
        <f>'Hafta 7'!$I$23</f>
        <v>0</v>
      </c>
      <c r="E33" s="68">
        <f>'Hafta 7'!$B$7</f>
        <v>12.5</v>
      </c>
      <c r="F33" s="68">
        <f>'Hafta 7'!$B$27</f>
        <v>12.5</v>
      </c>
      <c r="G33" s="68">
        <f>'Hafta 7'!$B$1</f>
        <v>78.8</v>
      </c>
    </row>
    <row r="34">
      <c r="A34" s="70" t="s">
        <v>77</v>
      </c>
      <c r="B34" s="68">
        <f>'Hafta 8'!$I$3</f>
        <v>0</v>
      </c>
      <c r="C34" s="68">
        <f>'Hafta 8'!$I$13</f>
        <v>0</v>
      </c>
      <c r="D34" s="68">
        <f>'Hafta 8'!$I$23</f>
        <v>0</v>
      </c>
      <c r="E34" s="68">
        <f>'Hafta 8'!$B$7</f>
        <v>12.5</v>
      </c>
      <c r="F34" s="68">
        <f>'Hafta 8'!$B$27</f>
        <v>12.5</v>
      </c>
      <c r="G34" s="68">
        <f>'Hafta 8'!$B$1</f>
        <v>78.8</v>
      </c>
    </row>
    <row r="35">
      <c r="A35" s="70" t="s">
        <v>78</v>
      </c>
      <c r="B35" s="68">
        <f>'Hafta 9'!$I$3</f>
        <v>0</v>
      </c>
      <c r="C35" s="68">
        <f>'Hafta 9'!$I$13</f>
        <v>0</v>
      </c>
      <c r="D35" s="68">
        <f>'Hafta 9'!$I$23</f>
        <v>0</v>
      </c>
      <c r="E35" s="68">
        <f>'Hafta 9'!$B$7</f>
        <v>12.5</v>
      </c>
      <c r="F35" s="68">
        <f>'Hafta 9'!$B$27</f>
        <v>12.5</v>
      </c>
      <c r="G35" s="68">
        <f>'Hafta 9'!$B$1</f>
        <v>78.8</v>
      </c>
    </row>
    <row r="36">
      <c r="A36" s="70" t="s">
        <v>79</v>
      </c>
      <c r="B36" s="68">
        <f>'Hafta 10'!$I$3</f>
        <v>0</v>
      </c>
      <c r="C36" s="68">
        <f>'Hafta 10'!$I$13</f>
        <v>0</v>
      </c>
      <c r="D36" s="68">
        <f>'Hafta 10'!$I$23</f>
        <v>0</v>
      </c>
      <c r="E36" s="68">
        <f>'Hafta 10'!$B$7</f>
        <v>12.5</v>
      </c>
      <c r="F36" s="68">
        <f>'Hafta 10'!$B$27</f>
        <v>12.5</v>
      </c>
      <c r="G36" s="68">
        <f>'Hafta 10'!$B$1</f>
        <v>78.8</v>
      </c>
    </row>
    <row r="37">
      <c r="A37" s="70" t="s">
        <v>80</v>
      </c>
      <c r="B37" s="68">
        <f>'Hafta 11'!$I$3</f>
        <v>0</v>
      </c>
      <c r="C37" s="68">
        <f>'Hafta 11'!$I$13</f>
        <v>0</v>
      </c>
      <c r="D37" s="68">
        <f>'Hafta 11'!$I$23</f>
        <v>0</v>
      </c>
      <c r="E37" s="68">
        <f>'Hafta 11'!$B$7</f>
        <v>12.5</v>
      </c>
      <c r="F37" s="68">
        <f>'Hafta 11'!$B$27</f>
        <v>12.5</v>
      </c>
      <c r="G37" s="68">
        <f>'Hafta 11'!$B$1</f>
        <v>78.8</v>
      </c>
    </row>
    <row r="38">
      <c r="A38" s="70" t="s">
        <v>81</v>
      </c>
      <c r="B38" s="68">
        <f>'Hafta 12'!$I$3</f>
        <v>0</v>
      </c>
      <c r="C38" s="68">
        <f>'Hafta 12'!$I$13</f>
        <v>0</v>
      </c>
      <c r="D38" s="68">
        <f>'Hafta 12'!$I$23</f>
        <v>0</v>
      </c>
      <c r="E38" s="68">
        <f>'Hafta 12'!$B$7</f>
        <v>12.5</v>
      </c>
      <c r="F38" s="68">
        <f>'Hafta 12'!$B$27</f>
        <v>12.5</v>
      </c>
      <c r="G38" s="68">
        <f>'Hafta 12'!$B$1</f>
        <v>78.8</v>
      </c>
    </row>
  </sheetData>
  <drawing r:id="rId1"/>
</worksheet>
</file>